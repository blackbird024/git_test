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uentas" sheetId="2" state="visible" r:id="rId2"/>
    <sheet name="Reglas" sheetId="3" state="visible" r:id="rId3"/>
    <sheet name="Diario" sheetId="4" state="visible" r:id="rId4"/>
    <sheet name="Semanal" sheetId="5" state="visible" r:id="rId5"/>
    <sheet name="Gastos e ingre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[Red]($#,##0.00);&quot;-&quot;"/>
    <numFmt numFmtId="165" formatCode="0.0%;[Red]-0.0%;&quot;-&quot;"/>
    <numFmt numFmtId="166" formatCode="0.0%"/>
    <numFmt numFmtId="167" formatCode="dd/mm/yyyy"/>
    <numFmt numFmtId="168" formatCode="yyyy-mm-dd"/>
    <numFmt numFmtId="169" formatCode="0.00&quot;R&quot;;[Red]-0.00&quot;R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164" fontId="5" fillId="2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5" fillId="2" borderId="1" pivotButton="0" quotePrefix="0" xfId="0"/>
    <xf numFmtId="165" fontId="5" fillId="2" borderId="1" pivotButton="0" quotePrefix="0" xfId="0"/>
    <xf numFmtId="167" fontId="5" fillId="2" borderId="1" pivotButton="0" quotePrefix="0" xfId="0"/>
    <xf numFmtId="169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164" fontId="8" fillId="0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Por debajo de este balance la firma cierra la cuenta. Cuentas fijas: capital - pérdida total máx. Apex (trailing): cópialo de la plataforma, sube con tu máximo.</t>
      </text>
    </comment>
    <comment ref="N1" authorId="0" shapeId="0">
      <text>
        <t>Riesgo por operación en $, sin pasar nunca del margen que te queda.</t>
      </text>
    </comment>
    <comment ref="G3" authorId="0" shapeId="0">
      <text>
        <t>Dato de ejemplo: balance de la cuenta paper de Alpaca el 2/10/2026.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K1" authorId="0" shapeId="0">
      <text>
        <t>Balance fin menos el nivel de liquidación de esa cuenta (pestaña Cuentas). Vacío si no has puesto el nivel.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Control de cuentas de trading</t>
        </is>
      </c>
    </row>
    <row r="2">
      <c r="A2" s="2" t="inlineStr"/>
    </row>
    <row r="3">
      <c r="A3" s="3" t="inlineStr">
        <is>
          <t>Cómo usarla</t>
        </is>
      </c>
    </row>
    <row r="4">
      <c r="A4" s="4" t="inlineStr">
        <is>
          <t>• Celdas AMARILLAS con texto azul: las rellenas tú.</t>
        </is>
      </c>
    </row>
    <row r="5">
      <c r="A5" s="2" t="inlineStr">
        <is>
          <t>• Celdas blancas con texto negro: se calculan solas (no las toques).</t>
        </is>
      </c>
    </row>
    <row r="6">
      <c r="A6" s="2" t="inlineStr">
        <is>
          <t>• La primera fila de datos de cada pestaña es un EJEMPLO: cámbiala o bórrala.</t>
        </is>
      </c>
    </row>
    <row r="7">
      <c r="A7" s="2" t="inlineStr"/>
    </row>
    <row r="8">
      <c r="A8" s="3" t="inlineStr">
        <is>
          <t>Pestañas</t>
        </is>
      </c>
    </row>
    <row r="9">
      <c r="A9" s="2" t="inlineStr">
        <is>
          <t>Cuentas: inventario y margen que te queda hasta el límite de pérdida de cada cuenta.</t>
        </is>
      </c>
    </row>
    <row r="10">
      <c r="A10" s="2" t="inlineStr">
        <is>
          <t>Reglas: las reglas de cada prop firm. Verifícalas en su web: cambian a menudo.</t>
        </is>
      </c>
    </row>
    <row r="11">
      <c r="A11" s="2" t="inlineStr">
        <is>
          <t>Diario: una fila por operación manual. Calcula el resultado en R (veces el riesgo).</t>
        </is>
      </c>
    </row>
    <row r="12">
      <c r="A12" s="2" t="inlineStr">
        <is>
          <t>Semanal: revisión de cada viernes, una fila por cuenta. Cuenta tus operaciones del Diario.</t>
        </is>
      </c>
    </row>
    <row r="13">
      <c r="A13" s="2" t="inlineStr">
        <is>
          <t>Gastos e ingresos: challenges, VPS, copiadores, suscripciones y pagos cobrados.</t>
        </is>
      </c>
    </row>
    <row r="14">
      <c r="A14" s="2" t="inlineStr"/>
    </row>
    <row r="15">
      <c r="A15" s="3" t="inlineStr">
        <is>
          <t>Apex (drawdown trailing)</t>
        </is>
      </c>
    </row>
    <row r="16">
      <c r="A16" s="2" t="inlineStr">
        <is>
          <t>El nivel de liquidación sube con tu máximo. Cópialo de la plataforma en la columna</t>
        </is>
      </c>
    </row>
    <row r="17">
      <c r="A17" s="2" t="inlineStr">
        <is>
          <t>'Nivel de liquidación' de la pestaña Cuentas cada vez que lo revises.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24" customWidth="1" min="5" max="5"/>
    <col width="15" customWidth="1" min="6" max="6"/>
    <col width="15" customWidth="1" min="7" max="7"/>
    <col width="13" customWidth="1" min="8" max="8"/>
    <col width="9" customWidth="1" min="9" max="9"/>
    <col width="16" customWidth="1" min="10" max="10"/>
    <col width="16" customWidth="1" min="11" max="11"/>
    <col width="10" customWidth="1" min="12" max="12"/>
    <col width="14" customWidth="1" min="13" max="13"/>
    <col width="14" customWidth="1" min="14" max="14"/>
    <col width="14" customWidth="1" min="15" max="15"/>
    <col width="40" customWidth="1" min="16" max="16"/>
  </cols>
  <sheetData>
    <row r="1" ht="32" customHeight="1">
      <c r="A1" s="5" t="inlineStr">
        <is>
          <t>Cuenta</t>
        </is>
      </c>
      <c r="B1" s="5" t="inlineStr">
        <is>
          <t>Firma / bróker</t>
        </is>
      </c>
      <c r="C1" s="5" t="inlineStr">
        <is>
          <t>Plataforma</t>
        </is>
      </c>
      <c r="D1" s="5" t="inlineStr">
        <is>
          <t>Tipo</t>
        </is>
      </c>
      <c r="E1" s="5" t="inlineStr">
        <is>
          <t>Uso</t>
        </is>
      </c>
      <c r="F1" s="5" t="inlineStr">
        <is>
          <t>Capital inicial ($)</t>
        </is>
      </c>
      <c r="G1" s="5" t="inlineStr">
        <is>
          <t>Balance actual ($)</t>
        </is>
      </c>
      <c r="H1" s="5" t="inlineStr">
        <is>
          <t>P/L ($)</t>
        </is>
      </c>
      <c r="I1" s="5" t="inlineStr">
        <is>
          <t>P/L %</t>
        </is>
      </c>
      <c r="J1" s="5" t="inlineStr">
        <is>
          <t>Nivel de liquidación ($)</t>
        </is>
      </c>
      <c r="K1" s="5" t="inlineStr">
        <is>
          <t>Margen hasta el límite ($)</t>
        </is>
      </c>
      <c r="L1" s="5" t="inlineStr">
        <is>
          <t>Margen %</t>
        </is>
      </c>
      <c r="M1" s="5" t="inlineStr">
        <is>
          <t>Riesgo máx. por operación (%)</t>
        </is>
      </c>
      <c r="N1" s="5" t="inlineStr">
        <is>
          <t>Riesgo máx. por operación ($)</t>
        </is>
      </c>
      <c r="O1" s="5" t="inlineStr">
        <is>
          <t>Estado</t>
        </is>
      </c>
      <c r="P1" s="5" t="inlineStr">
        <is>
          <t>Notas</t>
        </is>
      </c>
    </row>
    <row r="2">
      <c r="A2" s="6" t="inlineStr">
        <is>
          <t>Pepperstone demo</t>
        </is>
      </c>
      <c r="B2" s="6" t="inlineStr">
        <is>
          <t>Pepperstone</t>
        </is>
      </c>
      <c r="C2" s="6" t="inlineStr">
        <is>
          <t>MT5</t>
        </is>
      </c>
      <c r="D2" s="6" t="inlineStr">
        <is>
          <t>Demo</t>
        </is>
      </c>
      <c r="E2" s="6" t="inlineStr">
        <is>
          <t>IbsSwing (NAS100 + oro)</t>
        </is>
      </c>
      <c r="F2" s="7" t="n">
        <v>100000</v>
      </c>
      <c r="G2" s="7" t="n"/>
      <c r="H2" s="8">
        <f>IF(OR(F2="",G2=""),"",G2-F2)</f>
        <v/>
      </c>
      <c r="I2" s="9">
        <f>IF(OR(F2="",G2="",F2=0),"",H2/F2)</f>
        <v/>
      </c>
      <c r="J2" s="7" t="n"/>
      <c r="K2" s="8">
        <f>IF(OR(G2="",J2=""),"",G2-J2)</f>
        <v/>
      </c>
      <c r="L2" s="9">
        <f>IF(OR(K2="",G2="",G2=0),"",K2/G2)</f>
        <v/>
      </c>
      <c r="M2" s="10" t="n"/>
      <c r="N2" s="8">
        <f>IF(OR(M2="",K2=""),"",MIN(M2*G2,K2))</f>
        <v/>
      </c>
      <c r="O2" s="6" t="inlineStr">
        <is>
          <t>Prueba</t>
        </is>
      </c>
      <c r="P2" s="6" t="inlineStr">
        <is>
          <t>EA con avisos de Telegram</t>
        </is>
      </c>
    </row>
    <row r="3">
      <c r="A3" s="6" t="inlineStr">
        <is>
          <t>Alpaca paper</t>
        </is>
      </c>
      <c r="B3" s="6" t="inlineStr">
        <is>
          <t>Alpaca</t>
        </is>
      </c>
      <c r="C3" s="6" t="inlineStr">
        <is>
          <t>API</t>
        </is>
      </c>
      <c r="D3" s="6" t="inlineStr">
        <is>
          <t>Demo</t>
        </is>
      </c>
      <c r="E3" s="6" t="inlineStr">
        <is>
          <t>Largo plazo + cripto + IBS</t>
        </is>
      </c>
      <c r="F3" s="7" t="n">
        <v>100000</v>
      </c>
      <c r="G3" s="7" t="n">
        <v>100530.59</v>
      </c>
      <c r="H3" s="8">
        <f>IF(OR(F3="",G3=""),"",G3-F3)</f>
        <v/>
      </c>
      <c r="I3" s="9">
        <f>IF(OR(F3="",G3="",F3=0),"",H3/F3)</f>
        <v/>
      </c>
      <c r="J3" s="7" t="n"/>
      <c r="K3" s="8">
        <f>IF(OR(G3="",J3=""),"",G3-J3)</f>
        <v/>
      </c>
      <c r="L3" s="9">
        <f>IF(OR(K3="",G3="",G3=0),"",K3/G3)</f>
        <v/>
      </c>
      <c r="M3" s="10" t="n"/>
      <c r="N3" s="8">
        <f>IF(OR(M3="",K3=""),"",MIN(M3*G3,K3))</f>
        <v/>
      </c>
      <c r="O3" s="6" t="inlineStr">
        <is>
          <t>Prueba</t>
        </is>
      </c>
      <c r="P3" s="6" t="inlineStr">
        <is>
          <t>Balance del 2/10/2026</t>
        </is>
      </c>
    </row>
    <row r="4">
      <c r="A4" s="6" t="inlineStr">
        <is>
          <t>Wall Street Funded</t>
        </is>
      </c>
      <c r="B4" s="6" t="inlineStr">
        <is>
          <t>Wall Street Funded</t>
        </is>
      </c>
      <c r="C4" s="6" t="inlineStr"/>
      <c r="D4" s="6" t="inlineStr">
        <is>
          <t>Fondeada</t>
        </is>
      </c>
      <c r="E4" s="6" t="inlineStr">
        <is>
          <t>Manual</t>
        </is>
      </c>
      <c r="F4" s="7" t="n"/>
      <c r="G4" s="7" t="n"/>
      <c r="H4" s="8">
        <f>IF(OR(F4="",G4=""),"",G4-F4)</f>
        <v/>
      </c>
      <c r="I4" s="9">
        <f>IF(OR(F4="",G4="",F4=0),"",H4/F4)</f>
        <v/>
      </c>
      <c r="J4" s="7" t="n"/>
      <c r="K4" s="8">
        <f>IF(OR(G4="",J4=""),"",G4-J4)</f>
        <v/>
      </c>
      <c r="L4" s="9">
        <f>IF(OR(K4="",G4="",G4=0),"",K4/G4)</f>
        <v/>
      </c>
      <c r="M4" s="10" t="n">
        <v>0.005</v>
      </c>
      <c r="N4" s="8">
        <f>IF(OR(M4="",K4=""),"",MIN(M4*G4,K4))</f>
        <v/>
      </c>
      <c r="O4" s="6" t="inlineStr">
        <is>
          <t>Activa</t>
        </is>
      </c>
      <c r="P4" s="6" t="inlineStr"/>
    </row>
    <row r="5">
      <c r="A5" s="6" t="inlineStr">
        <is>
          <t>Noctorial</t>
        </is>
      </c>
      <c r="B5" s="6" t="inlineStr">
        <is>
          <t>Noctorial</t>
        </is>
      </c>
      <c r="C5" s="6" t="inlineStr"/>
      <c r="D5" s="6" t="inlineStr">
        <is>
          <t>Challenge</t>
        </is>
      </c>
      <c r="E5" s="6" t="inlineStr">
        <is>
          <t>Manual</t>
        </is>
      </c>
      <c r="F5" s="7" t="n"/>
      <c r="G5" s="7" t="n"/>
      <c r="H5" s="8">
        <f>IF(OR(F5="",G5=""),"",G5-F5)</f>
        <v/>
      </c>
      <c r="I5" s="9">
        <f>IF(OR(F5="",G5="",F5=0),"",H5/F5)</f>
        <v/>
      </c>
      <c r="J5" s="7" t="n"/>
      <c r="K5" s="8">
        <f>IF(OR(G5="",J5=""),"",G5-J5)</f>
        <v/>
      </c>
      <c r="L5" s="9">
        <f>IF(OR(K5="",G5="",G5=0),"",K5/G5)</f>
        <v/>
      </c>
      <c r="M5" s="10" t="n">
        <v>0.01</v>
      </c>
      <c r="N5" s="8">
        <f>IF(OR(M5="",K5=""),"",MIN(M5*G5,K5))</f>
        <v/>
      </c>
      <c r="O5" s="6" t="inlineStr">
        <is>
          <t>En challenge</t>
        </is>
      </c>
      <c r="P5" s="6" t="inlineStr"/>
    </row>
    <row r="6">
      <c r="A6" s="6" t="inlineStr">
        <is>
          <t>Apex 1</t>
        </is>
      </c>
      <c r="B6" s="6" t="inlineStr">
        <is>
          <t>Apex Trader Funding</t>
        </is>
      </c>
      <c r="C6" s="6" t="inlineStr">
        <is>
          <t>Tradovate</t>
        </is>
      </c>
      <c r="D6" s="6" t="inlineStr">
        <is>
          <t>Fondeada</t>
        </is>
      </c>
      <c r="E6" s="6" t="inlineStr">
        <is>
          <t>Manual</t>
        </is>
      </c>
      <c r="F6" s="7" t="n"/>
      <c r="G6" s="7" t="n"/>
      <c r="H6" s="8">
        <f>IF(OR(F6="",G6=""),"",G6-F6)</f>
        <v/>
      </c>
      <c r="I6" s="9">
        <f>IF(OR(F6="",G6="",F6=0),"",H6/F6)</f>
        <v/>
      </c>
      <c r="J6" s="7" t="n"/>
      <c r="K6" s="8">
        <f>IF(OR(G6="",J6=""),"",G6-J6)</f>
        <v/>
      </c>
      <c r="L6" s="9">
        <f>IF(OR(K6="",G6="",G6=0),"",K6/G6)</f>
        <v/>
      </c>
      <c r="M6" s="10" t="n">
        <v>0.005</v>
      </c>
      <c r="N6" s="8">
        <f>IF(OR(M6="",K6=""),"",MIN(M6*G6,K6))</f>
        <v/>
      </c>
      <c r="O6" s="6" t="inlineStr">
        <is>
          <t>Activa</t>
        </is>
      </c>
      <c r="P6" s="6" t="inlineStr">
        <is>
          <t>Drawdown trailing: actualiza el nivel de liquidación</t>
        </is>
      </c>
    </row>
    <row r="7">
      <c r="A7" s="6" t="inlineStr">
        <is>
          <t>Apex 2</t>
        </is>
      </c>
      <c r="B7" s="6" t="inlineStr">
        <is>
          <t>Apex Trader Funding</t>
        </is>
      </c>
      <c r="C7" s="6" t="inlineStr">
        <is>
          <t>Tradovate</t>
        </is>
      </c>
      <c r="D7" s="6" t="inlineStr">
        <is>
          <t>Fondeada</t>
        </is>
      </c>
      <c r="E7" s="6" t="inlineStr">
        <is>
          <t>Manual</t>
        </is>
      </c>
      <c r="F7" s="7" t="n"/>
      <c r="G7" s="7" t="n"/>
      <c r="H7" s="8">
        <f>IF(OR(F7="",G7=""),"",G7-F7)</f>
        <v/>
      </c>
      <c r="I7" s="9">
        <f>IF(OR(F7="",G7="",F7=0),"",H7/F7)</f>
        <v/>
      </c>
      <c r="J7" s="7" t="n"/>
      <c r="K7" s="8">
        <f>IF(OR(G7="",J7=""),"",G7-J7)</f>
        <v/>
      </c>
      <c r="L7" s="9">
        <f>IF(OR(K7="",G7="",G7=0),"",K7/G7)</f>
        <v/>
      </c>
      <c r="M7" s="10" t="n">
        <v>0.005</v>
      </c>
      <c r="N7" s="8">
        <f>IF(OR(M7="",K7=""),"",MIN(M7*G7,K7))</f>
        <v/>
      </c>
      <c r="O7" s="6" t="inlineStr">
        <is>
          <t>Activa</t>
        </is>
      </c>
      <c r="P7" s="6" t="inlineStr">
        <is>
          <t>Drawdown trailing: actualiza el nivel de liquidación</t>
        </is>
      </c>
    </row>
    <row r="8">
      <c r="A8" s="6" t="n"/>
      <c r="B8" s="6" t="n"/>
      <c r="C8" s="6" t="n"/>
      <c r="D8" s="6" t="n"/>
      <c r="E8" s="6" t="n"/>
      <c r="F8" s="7" t="n"/>
      <c r="G8" s="7" t="n"/>
      <c r="H8" s="8">
        <f>IF(OR(F8="",G8=""),"",G8-F8)</f>
        <v/>
      </c>
      <c r="I8" s="9">
        <f>IF(OR(F8="",G8="",F8=0),"",H8/F8)</f>
        <v/>
      </c>
      <c r="J8" s="7" t="n"/>
      <c r="K8" s="8">
        <f>IF(OR(G8="",J8=""),"",G8-J8)</f>
        <v/>
      </c>
      <c r="L8" s="9">
        <f>IF(OR(K8="",G8="",G8=0),"",K8/G8)</f>
        <v/>
      </c>
      <c r="M8" s="10" t="n"/>
      <c r="N8" s="8">
        <f>IF(OR(M8="",K8=""),"",MIN(M8*G8,K8))</f>
        <v/>
      </c>
      <c r="O8" s="6" t="n"/>
      <c r="P8" s="6" t="n"/>
    </row>
    <row r="9">
      <c r="A9" s="6" t="n"/>
      <c r="B9" s="6" t="n"/>
      <c r="C9" s="6" t="n"/>
      <c r="D9" s="6" t="n"/>
      <c r="E9" s="6" t="n"/>
      <c r="F9" s="7" t="n"/>
      <c r="G9" s="7" t="n"/>
      <c r="H9" s="8">
        <f>IF(OR(F9="",G9=""),"",G9-F9)</f>
        <v/>
      </c>
      <c r="I9" s="9">
        <f>IF(OR(F9="",G9="",F9=0),"",H9/F9)</f>
        <v/>
      </c>
      <c r="J9" s="7" t="n"/>
      <c r="K9" s="8">
        <f>IF(OR(G9="",J9=""),"",G9-J9)</f>
        <v/>
      </c>
      <c r="L9" s="9">
        <f>IF(OR(K9="",G9="",G9=0),"",K9/G9)</f>
        <v/>
      </c>
      <c r="M9" s="10" t="n"/>
      <c r="N9" s="8">
        <f>IF(OR(M9="",K9=""),"",MIN(M9*G9,K9))</f>
        <v/>
      </c>
      <c r="O9" s="6" t="n"/>
      <c r="P9" s="6" t="n"/>
    </row>
    <row r="10">
      <c r="A10" s="6" t="n"/>
      <c r="B10" s="6" t="n"/>
      <c r="C10" s="6" t="n"/>
      <c r="D10" s="6" t="n"/>
      <c r="E10" s="6" t="n"/>
      <c r="F10" s="7" t="n"/>
      <c r="G10" s="7" t="n"/>
      <c r="H10" s="8">
        <f>IF(OR(F10="",G10=""),"",G10-F10)</f>
        <v/>
      </c>
      <c r="I10" s="9">
        <f>IF(OR(F10="",G10="",F10=0),"",H10/F10)</f>
        <v/>
      </c>
      <c r="J10" s="7" t="n"/>
      <c r="K10" s="8">
        <f>IF(OR(G10="",J10=""),"",G10-J10)</f>
        <v/>
      </c>
      <c r="L10" s="9">
        <f>IF(OR(K10="",G10="",G10=0),"",K10/G10)</f>
        <v/>
      </c>
      <c r="M10" s="10" t="n"/>
      <c r="N10" s="8">
        <f>IF(OR(M10="",K10=""),"",MIN(M10*G10,K10))</f>
        <v/>
      </c>
      <c r="O10" s="6" t="n"/>
      <c r="P10" s="6" t="n"/>
    </row>
    <row r="11">
      <c r="A11" s="6" t="n"/>
      <c r="B11" s="6" t="n"/>
      <c r="C11" s="6" t="n"/>
      <c r="D11" s="6" t="n"/>
      <c r="E11" s="6" t="n"/>
      <c r="F11" s="7" t="n"/>
      <c r="G11" s="7" t="n"/>
      <c r="H11" s="8">
        <f>IF(OR(F11="",G11=""),"",G11-F11)</f>
        <v/>
      </c>
      <c r="I11" s="9">
        <f>IF(OR(F11="",G11="",F11=0),"",H11/F11)</f>
        <v/>
      </c>
      <c r="J11" s="7" t="n"/>
      <c r="K11" s="8">
        <f>IF(OR(G11="",J11=""),"",G11-J11)</f>
        <v/>
      </c>
      <c r="L11" s="9">
        <f>IF(OR(K11="",G11="",G11=0),"",K11/G11)</f>
        <v/>
      </c>
      <c r="M11" s="10" t="n"/>
      <c r="N11" s="8">
        <f>IF(OR(M11="",K11=""),"",MIN(M11*G11,K11))</f>
        <v/>
      </c>
      <c r="O11" s="6" t="n"/>
      <c r="P11" s="6" t="n"/>
    </row>
    <row r="12">
      <c r="A12" s="6" t="n"/>
      <c r="B12" s="6" t="n"/>
      <c r="C12" s="6" t="n"/>
      <c r="D12" s="6" t="n"/>
      <c r="E12" s="6" t="n"/>
      <c r="F12" s="7" t="n"/>
      <c r="G12" s="7" t="n"/>
      <c r="H12" s="8">
        <f>IF(OR(F12="",G12=""),"",G12-F12)</f>
        <v/>
      </c>
      <c r="I12" s="9">
        <f>IF(OR(F12="",G12="",F12=0),"",H12/F12)</f>
        <v/>
      </c>
      <c r="J12" s="7" t="n"/>
      <c r="K12" s="8">
        <f>IF(OR(G12="",J12=""),"",G12-J12)</f>
        <v/>
      </c>
      <c r="L12" s="9">
        <f>IF(OR(K12="",G12="",G12=0),"",K12/G12)</f>
        <v/>
      </c>
      <c r="M12" s="10" t="n"/>
      <c r="N12" s="8">
        <f>IF(OR(M12="",K12=""),"",MIN(M12*G12,K12))</f>
        <v/>
      </c>
      <c r="O12" s="6" t="n"/>
      <c r="P12" s="6" t="n"/>
    </row>
    <row r="13">
      <c r="A13" s="6" t="n"/>
      <c r="B13" s="6" t="n"/>
      <c r="C13" s="6" t="n"/>
      <c r="D13" s="6" t="n"/>
      <c r="E13" s="6" t="n"/>
      <c r="F13" s="7" t="n"/>
      <c r="G13" s="7" t="n"/>
      <c r="H13" s="8">
        <f>IF(OR(F13="",G13=""),"",G13-F13)</f>
        <v/>
      </c>
      <c r="I13" s="9">
        <f>IF(OR(F13="",G13="",F13=0),"",H13/F13)</f>
        <v/>
      </c>
      <c r="J13" s="7" t="n"/>
      <c r="K13" s="8">
        <f>IF(OR(G13="",J13=""),"",G13-J13)</f>
        <v/>
      </c>
      <c r="L13" s="9">
        <f>IF(OR(K13="",G13="",G13=0),"",K13/G13)</f>
        <v/>
      </c>
      <c r="M13" s="10" t="n"/>
      <c r="N13" s="8">
        <f>IF(OR(M13="",K13=""),"",MIN(M13*G13,K13))</f>
        <v/>
      </c>
      <c r="O13" s="6" t="n"/>
      <c r="P13" s="6" t="n"/>
    </row>
    <row r="14">
      <c r="A14" s="6" t="n"/>
      <c r="B14" s="6" t="n"/>
      <c r="C14" s="6" t="n"/>
      <c r="D14" s="6" t="n"/>
      <c r="E14" s="6" t="n"/>
      <c r="F14" s="7" t="n"/>
      <c r="G14" s="7" t="n"/>
      <c r="H14" s="8">
        <f>IF(OR(F14="",G14=""),"",G14-F14)</f>
        <v/>
      </c>
      <c r="I14" s="9">
        <f>IF(OR(F14="",G14="",F14=0),"",H14/F14)</f>
        <v/>
      </c>
      <c r="J14" s="7" t="n"/>
      <c r="K14" s="8">
        <f>IF(OR(G14="",J14=""),"",G14-J14)</f>
        <v/>
      </c>
      <c r="L14" s="9">
        <f>IF(OR(K14="",G14="",G14=0),"",K14/G14)</f>
        <v/>
      </c>
      <c r="M14" s="10" t="n"/>
      <c r="N14" s="8">
        <f>IF(OR(M14="",K14=""),"",MIN(M14*G14,K14))</f>
        <v/>
      </c>
      <c r="O14" s="6" t="n"/>
      <c r="P14" s="6" t="n"/>
    </row>
    <row r="15">
      <c r="A15" s="6" t="n"/>
      <c r="B15" s="6" t="n"/>
      <c r="C15" s="6" t="n"/>
      <c r="D15" s="6" t="n"/>
      <c r="E15" s="6" t="n"/>
      <c r="F15" s="7" t="n"/>
      <c r="G15" s="7" t="n"/>
      <c r="H15" s="8">
        <f>IF(OR(F15="",G15=""),"",G15-F15)</f>
        <v/>
      </c>
      <c r="I15" s="9">
        <f>IF(OR(F15="",G15="",F15=0),"",H15/F15)</f>
        <v/>
      </c>
      <c r="J15" s="7" t="n"/>
      <c r="K15" s="8">
        <f>IF(OR(G15="",J15=""),"",G15-J15)</f>
        <v/>
      </c>
      <c r="L15" s="9">
        <f>IF(OR(K15="",G15="",G15=0),"",K15/G15)</f>
        <v/>
      </c>
      <c r="M15" s="10" t="n"/>
      <c r="N15" s="8">
        <f>IF(OR(M15="",K15=""),"",MIN(M15*G15,K15))</f>
        <v/>
      </c>
      <c r="O15" s="6" t="n"/>
      <c r="P15" s="6" t="n"/>
    </row>
    <row r="16">
      <c r="A16" s="6" t="n"/>
      <c r="B16" s="6" t="n"/>
      <c r="C16" s="6" t="n"/>
      <c r="D16" s="6" t="n"/>
      <c r="E16" s="6" t="n"/>
      <c r="F16" s="7" t="n"/>
      <c r="G16" s="7" t="n"/>
      <c r="H16" s="8">
        <f>IF(OR(F16="",G16=""),"",G16-F16)</f>
        <v/>
      </c>
      <c r="I16" s="9">
        <f>IF(OR(F16="",G16="",F16=0),"",H16/F16)</f>
        <v/>
      </c>
      <c r="J16" s="7" t="n"/>
      <c r="K16" s="8">
        <f>IF(OR(G16="",J16=""),"",G16-J16)</f>
        <v/>
      </c>
      <c r="L16" s="9">
        <f>IF(OR(K16="",G16="",G16=0),"",K16/G16)</f>
        <v/>
      </c>
      <c r="M16" s="10" t="n"/>
      <c r="N16" s="8">
        <f>IF(OR(M16="",K16=""),"",MIN(M16*G16,K16))</f>
        <v/>
      </c>
      <c r="O16" s="6" t="n"/>
      <c r="P16" s="6" t="n"/>
    </row>
    <row r="17">
      <c r="A17" s="6" t="n"/>
      <c r="B17" s="6" t="n"/>
      <c r="C17" s="6" t="n"/>
      <c r="D17" s="6" t="n"/>
      <c r="E17" s="6" t="n"/>
      <c r="F17" s="7" t="n"/>
      <c r="G17" s="7" t="n"/>
      <c r="H17" s="8">
        <f>IF(OR(F17="",G17=""),"",G17-F17)</f>
        <v/>
      </c>
      <c r="I17" s="9">
        <f>IF(OR(F17="",G17="",F17=0),"",H17/F17)</f>
        <v/>
      </c>
      <c r="J17" s="7" t="n"/>
      <c r="K17" s="8">
        <f>IF(OR(G17="",J17=""),"",G17-J17)</f>
        <v/>
      </c>
      <c r="L17" s="9">
        <f>IF(OR(K17="",G17="",G17=0),"",K17/G17)</f>
        <v/>
      </c>
      <c r="M17" s="10" t="n"/>
      <c r="N17" s="8">
        <f>IF(OR(M17="",K17=""),"",MIN(M17*G17,K17))</f>
        <v/>
      </c>
      <c r="O17" s="6" t="n"/>
      <c r="P17" s="6" t="n"/>
    </row>
    <row r="18">
      <c r="A18" s="6" t="n"/>
      <c r="B18" s="6" t="n"/>
      <c r="C18" s="6" t="n"/>
      <c r="D18" s="6" t="n"/>
      <c r="E18" s="6" t="n"/>
      <c r="F18" s="7" t="n"/>
      <c r="G18" s="7" t="n"/>
      <c r="H18" s="8">
        <f>IF(OR(F18="",G18=""),"",G18-F18)</f>
        <v/>
      </c>
      <c r="I18" s="9">
        <f>IF(OR(F18="",G18="",F18=0),"",H18/F18)</f>
        <v/>
      </c>
      <c r="J18" s="7" t="n"/>
      <c r="K18" s="8">
        <f>IF(OR(G18="",J18=""),"",G18-J18)</f>
        <v/>
      </c>
      <c r="L18" s="9">
        <f>IF(OR(K18="",G18="",G18=0),"",K18/G18)</f>
        <v/>
      </c>
      <c r="M18" s="10" t="n"/>
      <c r="N18" s="8">
        <f>IF(OR(M18="",K18=""),"",MIN(M18*G18,K18))</f>
        <v/>
      </c>
      <c r="O18" s="6" t="n"/>
      <c r="P18" s="6" t="n"/>
    </row>
    <row r="19">
      <c r="A19" s="6" t="n"/>
      <c r="B19" s="6" t="n"/>
      <c r="C19" s="6" t="n"/>
      <c r="D19" s="6" t="n"/>
      <c r="E19" s="6" t="n"/>
      <c r="F19" s="7" t="n"/>
      <c r="G19" s="7" t="n"/>
      <c r="H19" s="8">
        <f>IF(OR(F19="",G19=""),"",G19-F19)</f>
        <v/>
      </c>
      <c r="I19" s="9">
        <f>IF(OR(F19="",G19="",F19=0),"",H19/F19)</f>
        <v/>
      </c>
      <c r="J19" s="7" t="n"/>
      <c r="K19" s="8">
        <f>IF(OR(G19="",J19=""),"",G19-J19)</f>
        <v/>
      </c>
      <c r="L19" s="9">
        <f>IF(OR(K19="",G19="",G19=0),"",K19/G19)</f>
        <v/>
      </c>
      <c r="M19" s="10" t="n"/>
      <c r="N19" s="8">
        <f>IF(OR(M19="",K19=""),"",MIN(M19*G19,K19))</f>
        <v/>
      </c>
      <c r="O19" s="6" t="n"/>
      <c r="P19" s="6" t="n"/>
    </row>
    <row r="20">
      <c r="A20" s="6" t="n"/>
      <c r="B20" s="6" t="n"/>
      <c r="C20" s="6" t="n"/>
      <c r="D20" s="6" t="n"/>
      <c r="E20" s="6" t="n"/>
      <c r="F20" s="7" t="n"/>
      <c r="G20" s="7" t="n"/>
      <c r="H20" s="8">
        <f>IF(OR(F20="",G20=""),"",G20-F20)</f>
        <v/>
      </c>
      <c r="I20" s="9">
        <f>IF(OR(F20="",G20="",F20=0),"",H20/F20)</f>
        <v/>
      </c>
      <c r="J20" s="7" t="n"/>
      <c r="K20" s="8">
        <f>IF(OR(G20="",J20=""),"",G20-J20)</f>
        <v/>
      </c>
      <c r="L20" s="9">
        <f>IF(OR(K20="",G20="",G20=0),"",K20/G20)</f>
        <v/>
      </c>
      <c r="M20" s="10" t="n"/>
      <c r="N20" s="8">
        <f>IF(OR(M20="",K20=""),"",MIN(M20*G20,K20))</f>
        <v/>
      </c>
      <c r="O20" s="6" t="n"/>
      <c r="P20" s="6" t="n"/>
    </row>
    <row r="21">
      <c r="A21" s="6" t="n"/>
      <c r="B21" s="6" t="n"/>
      <c r="C21" s="6" t="n"/>
      <c r="D21" s="6" t="n"/>
      <c r="E21" s="6" t="n"/>
      <c r="F21" s="7" t="n"/>
      <c r="G21" s="7" t="n"/>
      <c r="H21" s="8">
        <f>IF(OR(F21="",G21=""),"",G21-F21)</f>
        <v/>
      </c>
      <c r="I21" s="9">
        <f>IF(OR(F21="",G21="",F21=0),"",H21/F21)</f>
        <v/>
      </c>
      <c r="J21" s="7" t="n"/>
      <c r="K21" s="8">
        <f>IF(OR(G21="",J21=""),"",G21-J21)</f>
        <v/>
      </c>
      <c r="L21" s="9">
        <f>IF(OR(K21="",G21="",G21=0),"",K21/G21)</f>
        <v/>
      </c>
      <c r="M21" s="10" t="n"/>
      <c r="N21" s="8">
        <f>IF(OR(M21="",K21=""),"",MIN(M21*G21,K21))</f>
        <v/>
      </c>
      <c r="O21" s="6" t="n"/>
      <c r="P21" s="6" t="n"/>
    </row>
  </sheetData>
  <conditionalFormatting sqref="L2:L21">
    <cfRule type="cellIs" priority="1" operator="lessThan" dxfId="0">
      <formula>0.03</formula>
    </cfRule>
  </conditionalFormatting>
  <dataValidations count="1">
    <dataValidation sqref="D2:D21" showDropDown="0" showInputMessage="0" showErrorMessage="0" allowBlank="1" type="list">
      <formula1>"Demo,Challenge,Fondeada,Real"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13" customWidth="1" min="5" max="5"/>
    <col width="14" customWidth="1" min="6" max="6"/>
    <col width="15" customWidth="1" min="7" max="7"/>
    <col width="17" customWidth="1" min="8" max="8"/>
    <col width="12" customWidth="1" min="9" max="9"/>
    <col width="10" customWidth="1" min="10" max="10"/>
    <col width="18" customWidth="1" min="11" max="11"/>
    <col width="15" customWidth="1" min="12" max="12"/>
    <col width="12" customWidth="1" min="13" max="13"/>
    <col width="45" customWidth="1" min="14" max="14"/>
  </cols>
  <sheetData>
    <row r="1" ht="32" customHeight="1">
      <c r="A1" s="5" t="inlineStr">
        <is>
          <t>Firma</t>
        </is>
      </c>
      <c r="B1" s="5" t="inlineStr">
        <is>
          <t>Cuenta / programa</t>
        </is>
      </c>
      <c r="C1" s="5" t="inlineStr">
        <is>
          <t>Objetivo de beneficio (%)</t>
        </is>
      </c>
      <c r="D1" s="5" t="inlineStr">
        <is>
          <t>Pérdida diaria máx. (%)</t>
        </is>
      </c>
      <c r="E1" s="5" t="inlineStr">
        <is>
          <t>Pérdida total máx. (%)</t>
        </is>
      </c>
      <c r="F1" s="5" t="inlineStr">
        <is>
          <t>Tipo de drawdown</t>
        </is>
      </c>
      <c r="G1" s="5" t="inlineStr">
        <is>
          <t>¿Overnight / fin de semana?</t>
        </is>
      </c>
      <c r="H1" s="5" t="inlineStr">
        <is>
          <t>¿Copy trading entre cuentas propias?</t>
        </is>
      </c>
      <c r="I1" s="5" t="inlineStr">
        <is>
          <t>¿EAs / bots?</t>
        </is>
      </c>
      <c r="J1" s="5" t="inlineStr">
        <is>
          <t>Días mínimos</t>
        </is>
      </c>
      <c r="K1" s="5" t="inlineStr">
        <is>
          <t>Regla de consistencia</t>
        </is>
      </c>
      <c r="L1" s="5" t="inlineStr">
        <is>
          <t>Hora límite de cierre</t>
        </is>
      </c>
      <c r="M1" s="5" t="inlineStr">
        <is>
          <t>Verificado el</t>
        </is>
      </c>
      <c r="N1" s="5" t="inlineStr">
        <is>
          <t>Fuente / notas</t>
        </is>
      </c>
    </row>
    <row r="2">
      <c r="A2" s="6" t="inlineStr">
        <is>
          <t>Crypto Fund Trader</t>
        </is>
      </c>
      <c r="B2" s="6" t="inlineStr">
        <is>
          <t>2 fases</t>
        </is>
      </c>
      <c r="C2" s="11" t="n">
        <v>0.08</v>
      </c>
      <c r="D2" s="11" t="n">
        <v>0.05</v>
      </c>
      <c r="E2" s="11" t="n">
        <v>0.12</v>
      </c>
      <c r="F2" s="6" t="inlineStr">
        <is>
          <t>Fijo (fase 1)</t>
        </is>
      </c>
      <c r="G2" s="6" t="inlineStr">
        <is>
          <t>Sí</t>
        </is>
      </c>
      <c r="H2" s="6" t="inlineStr">
        <is>
          <t>Sí</t>
        </is>
      </c>
      <c r="I2" s="6" t="inlineStr">
        <is>
          <t>Sí</t>
        </is>
      </c>
      <c r="J2" s="6" t="n"/>
      <c r="K2" s="6" t="inlineStr"/>
      <c r="L2" s="6" t="inlineStr"/>
      <c r="M2" s="12" t="n"/>
      <c r="N2" s="6" t="inlineStr">
        <is>
          <t>Ejemplo según reseñas de 2026 (LuxAlgo, Tradelytic). Fase 2: objetivo 4%. Verificar en su web.</t>
        </is>
      </c>
    </row>
    <row r="3">
      <c r="A3" s="6" t="inlineStr">
        <is>
          <t>Wall Street Funded</t>
        </is>
      </c>
      <c r="B3" s="6" t="inlineStr"/>
      <c r="C3" s="11" t="n"/>
      <c r="D3" s="11" t="n"/>
      <c r="E3" s="11" t="n"/>
      <c r="F3" s="6" t="n"/>
      <c r="G3" s="6" t="n"/>
      <c r="H3" s="6" t="n"/>
      <c r="I3" s="6" t="n"/>
      <c r="J3" s="6" t="n"/>
      <c r="K3" s="6" t="n"/>
      <c r="L3" s="6" t="n"/>
      <c r="M3" s="12" t="n"/>
      <c r="N3" s="6" t="n"/>
    </row>
    <row r="4">
      <c r="A4" s="6" t="inlineStr">
        <is>
          <t>Noctorial</t>
        </is>
      </c>
      <c r="B4" s="6" t="inlineStr">
        <is>
          <t>Challenge</t>
        </is>
      </c>
      <c r="C4" s="11" t="n"/>
      <c r="D4" s="11" t="n"/>
      <c r="E4" s="11" t="n"/>
      <c r="F4" s="6" t="n"/>
      <c r="G4" s="6" t="n"/>
      <c r="H4" s="6" t="n"/>
      <c r="I4" s="6" t="n"/>
      <c r="J4" s="6" t="n"/>
      <c r="K4" s="6" t="n"/>
      <c r="L4" s="6" t="n"/>
      <c r="M4" s="12" t="n"/>
      <c r="N4" s="6" t="n"/>
    </row>
    <row r="5">
      <c r="A5" s="6" t="inlineStr">
        <is>
          <t>Apex Trader Funding</t>
        </is>
      </c>
      <c r="B5" s="6" t="inlineStr">
        <is>
          <t>PA (fondeada)</t>
        </is>
      </c>
      <c r="C5" s="11" t="n"/>
      <c r="D5" s="11" t="n"/>
      <c r="E5" s="11" t="n"/>
      <c r="F5" s="6" t="n"/>
      <c r="G5" s="6" t="n"/>
      <c r="H5" s="6" t="n"/>
      <c r="I5" s="6" t="n"/>
      <c r="J5" s="6" t="n"/>
      <c r="K5" s="6" t="n"/>
      <c r="L5" s="6" t="inlineStr"/>
      <c r="M5" s="12" t="n"/>
      <c r="N5" s="6" t="inlineStr">
        <is>
          <t>Completar desde la web de Apex: drawdown trailing, cierre diario obligatorio, consistencia y pagos.</t>
        </is>
      </c>
    </row>
    <row r="6">
      <c r="A6" s="6" t="n"/>
      <c r="B6" s="6" t="n"/>
      <c r="C6" s="11" t="n"/>
      <c r="D6" s="11" t="n"/>
      <c r="E6" s="11" t="n"/>
      <c r="F6" s="6" t="n"/>
      <c r="G6" s="6" t="n"/>
      <c r="H6" s="6" t="n"/>
      <c r="I6" s="6" t="n"/>
      <c r="J6" s="6" t="n"/>
      <c r="K6" s="6" t="n"/>
      <c r="L6" s="6" t="n"/>
      <c r="M6" s="12" t="n"/>
      <c r="N6" s="6" t="n"/>
    </row>
    <row r="7">
      <c r="A7" s="6" t="n"/>
      <c r="B7" s="6" t="n"/>
      <c r="C7" s="11" t="n"/>
      <c r="D7" s="11" t="n"/>
      <c r="E7" s="11" t="n"/>
      <c r="F7" s="6" t="n"/>
      <c r="G7" s="6" t="n"/>
      <c r="H7" s="6" t="n"/>
      <c r="I7" s="6" t="n"/>
      <c r="J7" s="6" t="n"/>
      <c r="K7" s="6" t="n"/>
      <c r="L7" s="6" t="n"/>
      <c r="M7" s="12" t="n"/>
      <c r="N7" s="6" t="n"/>
    </row>
    <row r="8">
      <c r="A8" s="6" t="n"/>
      <c r="B8" s="6" t="n"/>
      <c r="C8" s="11" t="n"/>
      <c r="D8" s="11" t="n"/>
      <c r="E8" s="11" t="n"/>
      <c r="F8" s="6" t="n"/>
      <c r="G8" s="6" t="n"/>
      <c r="H8" s="6" t="n"/>
      <c r="I8" s="6" t="n"/>
      <c r="J8" s="6" t="n"/>
      <c r="K8" s="6" t="n"/>
      <c r="L8" s="6" t="n"/>
      <c r="M8" s="12" t="n"/>
      <c r="N8" s="6" t="n"/>
    </row>
    <row r="9">
      <c r="A9" s="6" t="n"/>
      <c r="B9" s="6" t="n"/>
      <c r="C9" s="11" t="n"/>
      <c r="D9" s="11" t="n"/>
      <c r="E9" s="11" t="n"/>
      <c r="F9" s="6" t="n"/>
      <c r="G9" s="6" t="n"/>
      <c r="H9" s="6" t="n"/>
      <c r="I9" s="6" t="n"/>
      <c r="J9" s="6" t="n"/>
      <c r="K9" s="6" t="n"/>
      <c r="L9" s="6" t="n"/>
      <c r="M9" s="12" t="n"/>
      <c r="N9" s="6" t="n"/>
    </row>
    <row r="10">
      <c r="A10" s="6" t="n"/>
      <c r="B10" s="6" t="n"/>
      <c r="C10" s="11" t="n"/>
      <c r="D10" s="11" t="n"/>
      <c r="E10" s="11" t="n"/>
      <c r="F10" s="6" t="n"/>
      <c r="G10" s="6" t="n"/>
      <c r="H10" s="6" t="n"/>
      <c r="I10" s="6" t="n"/>
      <c r="J10" s="6" t="n"/>
      <c r="K10" s="6" t="n"/>
      <c r="L10" s="6" t="n"/>
      <c r="M10" s="12" t="n"/>
      <c r="N10" s="6" t="n"/>
    </row>
    <row r="11">
      <c r="A11" s="6" t="n"/>
      <c r="B11" s="6" t="n"/>
      <c r="C11" s="11" t="n"/>
      <c r="D11" s="11" t="n"/>
      <c r="E11" s="11" t="n"/>
      <c r="F11" s="6" t="n"/>
      <c r="G11" s="6" t="n"/>
      <c r="H11" s="6" t="n"/>
      <c r="I11" s="6" t="n"/>
      <c r="J11" s="6" t="n"/>
      <c r="K11" s="6" t="n"/>
      <c r="L11" s="6" t="n"/>
      <c r="M11" s="12" t="n"/>
      <c r="N11" s="6" t="n"/>
    </row>
    <row r="12">
      <c r="A12" s="6" t="n"/>
      <c r="B12" s="6" t="n"/>
      <c r="C12" s="11" t="n"/>
      <c r="D12" s="11" t="n"/>
      <c r="E12" s="11" t="n"/>
      <c r="F12" s="6" t="n"/>
      <c r="G12" s="6" t="n"/>
      <c r="H12" s="6" t="n"/>
      <c r="I12" s="6" t="n"/>
      <c r="J12" s="6" t="n"/>
      <c r="K12" s="6" t="n"/>
      <c r="L12" s="6" t="n"/>
      <c r="M12" s="12" t="n"/>
      <c r="N12" s="6" t="n"/>
    </row>
    <row r="13">
      <c r="A13" s="6" t="n"/>
      <c r="B13" s="6" t="n"/>
      <c r="C13" s="11" t="n"/>
      <c r="D13" s="11" t="n"/>
      <c r="E13" s="11" t="n"/>
      <c r="F13" s="6" t="n"/>
      <c r="G13" s="6" t="n"/>
      <c r="H13" s="6" t="n"/>
      <c r="I13" s="6" t="n"/>
      <c r="J13" s="6" t="n"/>
      <c r="K13" s="6" t="n"/>
      <c r="L13" s="6" t="n"/>
      <c r="M13" s="12" t="n"/>
      <c r="N13" s="6" t="n"/>
    </row>
    <row r="14">
      <c r="A14" s="6" t="n"/>
      <c r="B14" s="6" t="n"/>
      <c r="C14" s="11" t="n"/>
      <c r="D14" s="11" t="n"/>
      <c r="E14" s="11" t="n"/>
      <c r="F14" s="6" t="n"/>
      <c r="G14" s="6" t="n"/>
      <c r="H14" s="6" t="n"/>
      <c r="I14" s="6" t="n"/>
      <c r="J14" s="6" t="n"/>
      <c r="K14" s="6" t="n"/>
      <c r="L14" s="6" t="n"/>
      <c r="M14" s="12" t="n"/>
      <c r="N14" s="6" t="n"/>
    </row>
    <row r="15">
      <c r="A15" s="6" t="n"/>
      <c r="B15" s="6" t="n"/>
      <c r="C15" s="11" t="n"/>
      <c r="D15" s="11" t="n"/>
      <c r="E15" s="11" t="n"/>
      <c r="F15" s="6" t="n"/>
      <c r="G15" s="6" t="n"/>
      <c r="H15" s="6" t="n"/>
      <c r="I15" s="6" t="n"/>
      <c r="J15" s="6" t="n"/>
      <c r="K15" s="6" t="n"/>
      <c r="L15" s="6" t="n"/>
      <c r="M15" s="12" t="n"/>
      <c r="N15" s="6" t="n"/>
    </row>
    <row r="16">
      <c r="A16" s="6" t="n"/>
      <c r="B16" s="6" t="n"/>
      <c r="C16" s="11" t="n"/>
      <c r="D16" s="11" t="n"/>
      <c r="E16" s="11" t="n"/>
      <c r="F16" s="6" t="n"/>
      <c r="G16" s="6" t="n"/>
      <c r="H16" s="6" t="n"/>
      <c r="I16" s="6" t="n"/>
      <c r="J16" s="6" t="n"/>
      <c r="K16" s="6" t="n"/>
      <c r="L16" s="6" t="n"/>
      <c r="M16" s="12" t="n"/>
      <c r="N1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1" customWidth="1" min="11" max="11"/>
    <col width="20" customWidth="1" min="12" max="12"/>
    <col width="12" customWidth="1" min="13" max="13"/>
    <col width="40" customWidth="1" min="14" max="14"/>
  </cols>
  <sheetData>
    <row r="1" ht="32" customHeight="1">
      <c r="A1" s="5" t="inlineStr">
        <is>
          <t>Fecha</t>
        </is>
      </c>
      <c r="B1" s="5" t="inlineStr">
        <is>
          <t>Cuenta</t>
        </is>
      </c>
      <c r="C1" s="5" t="inlineStr">
        <is>
          <t>Instrumento</t>
        </is>
      </c>
      <c r="D1" s="5" t="inlineStr">
        <is>
          <t>Dirección</t>
        </is>
      </c>
      <c r="E1" s="5" t="inlineStr">
        <is>
          <t>Contratos / lotes</t>
        </is>
      </c>
      <c r="F1" s="5" t="inlineStr">
        <is>
          <t>Entrada</t>
        </is>
      </c>
      <c r="G1" s="5" t="inlineStr">
        <is>
          <t>Stop</t>
        </is>
      </c>
      <c r="H1" s="5" t="inlineStr">
        <is>
          <t>Salida</t>
        </is>
      </c>
      <c r="I1" s="5" t="inlineStr">
        <is>
          <t>Resultado ($)</t>
        </is>
      </c>
      <c r="J1" s="5" t="inlineStr">
        <is>
          <t>Riesgo ($)</t>
        </is>
      </c>
      <c r="K1" s="5" t="inlineStr">
        <is>
          <t>Resultado (R)</t>
        </is>
      </c>
      <c r="L1" s="5" t="inlineStr">
        <is>
          <t>Setup</t>
        </is>
      </c>
      <c r="M1" s="5" t="inlineStr">
        <is>
          <t>¿Seguí el plan?</t>
        </is>
      </c>
      <c r="N1" s="5" t="inlineStr">
        <is>
          <t>Notas</t>
        </is>
      </c>
    </row>
    <row r="2">
      <c r="A2" s="12" t="n">
        <v>46300</v>
      </c>
      <c r="B2" s="6" t="inlineStr">
        <is>
          <t>Apex 1</t>
        </is>
      </c>
      <c r="C2" s="6" t="inlineStr">
        <is>
          <t>MNQ</t>
        </is>
      </c>
      <c r="D2" s="6" t="inlineStr">
        <is>
          <t>Compra</t>
        </is>
      </c>
      <c r="E2" s="6" t="n">
        <v>2</v>
      </c>
      <c r="F2" s="6" t="n">
        <v>30120.25</v>
      </c>
      <c r="G2" s="6" t="n">
        <v>30095.25</v>
      </c>
      <c r="H2" s="6" t="n">
        <v>30170.25</v>
      </c>
      <c r="I2" s="7" t="n">
        <v>200</v>
      </c>
      <c r="J2" s="7" t="n">
        <v>100</v>
      </c>
      <c r="K2" s="13">
        <f>IF(OR(I2="",J2="",J2=0),"",I2/J2)</f>
        <v/>
      </c>
      <c r="L2" s="6" t="inlineStr">
        <is>
          <t>Ruptura apertura</t>
        </is>
      </c>
      <c r="M2" s="6" t="inlineStr">
        <is>
          <t>Sí</t>
        </is>
      </c>
      <c r="N2" s="6" t="inlineStr">
        <is>
          <t>Ejemplo: bórrala cuando empieces</t>
        </is>
      </c>
    </row>
    <row r="3">
      <c r="A3" s="12" t="n"/>
      <c r="B3" s="6" t="n"/>
      <c r="C3" s="6" t="n"/>
      <c r="D3" s="6" t="n"/>
      <c r="E3" s="6" t="n"/>
      <c r="F3" s="6" t="n"/>
      <c r="G3" s="6" t="n"/>
      <c r="H3" s="6" t="n"/>
      <c r="I3" s="7" t="n"/>
      <c r="J3" s="7" t="n"/>
      <c r="K3" s="13">
        <f>IF(OR(I3="",J3="",J3=0),"",I3/J3)</f>
        <v/>
      </c>
      <c r="L3" s="6" t="n"/>
      <c r="M3" s="6" t="n"/>
      <c r="N3" s="6" t="n"/>
    </row>
    <row r="4">
      <c r="A4" s="12" t="n"/>
      <c r="B4" s="6" t="n"/>
      <c r="C4" s="6" t="n"/>
      <c r="D4" s="6" t="n"/>
      <c r="E4" s="6" t="n"/>
      <c r="F4" s="6" t="n"/>
      <c r="G4" s="6" t="n"/>
      <c r="H4" s="6" t="n"/>
      <c r="I4" s="7" t="n"/>
      <c r="J4" s="7" t="n"/>
      <c r="K4" s="13">
        <f>IF(OR(I4="",J4="",J4=0),"",I4/J4)</f>
        <v/>
      </c>
      <c r="L4" s="6" t="n"/>
      <c r="M4" s="6" t="n"/>
      <c r="N4" s="6" t="n"/>
    </row>
    <row r="5">
      <c r="A5" s="12" t="n"/>
      <c r="B5" s="6" t="n"/>
      <c r="C5" s="6" t="n"/>
      <c r="D5" s="6" t="n"/>
      <c r="E5" s="6" t="n"/>
      <c r="F5" s="6" t="n"/>
      <c r="G5" s="6" t="n"/>
      <c r="H5" s="6" t="n"/>
      <c r="I5" s="7" t="n"/>
      <c r="J5" s="7" t="n"/>
      <c r="K5" s="13">
        <f>IF(OR(I5="",J5="",J5=0),"",I5/J5)</f>
        <v/>
      </c>
      <c r="L5" s="6" t="n"/>
      <c r="M5" s="6" t="n"/>
      <c r="N5" s="6" t="n"/>
    </row>
    <row r="6">
      <c r="A6" s="12" t="n"/>
      <c r="B6" s="6" t="n"/>
      <c r="C6" s="6" t="n"/>
      <c r="D6" s="6" t="n"/>
      <c r="E6" s="6" t="n"/>
      <c r="F6" s="6" t="n"/>
      <c r="G6" s="6" t="n"/>
      <c r="H6" s="6" t="n"/>
      <c r="I6" s="7" t="n"/>
      <c r="J6" s="7" t="n"/>
      <c r="K6" s="13">
        <f>IF(OR(I6="",J6="",J6=0),"",I6/J6)</f>
        <v/>
      </c>
      <c r="L6" s="6" t="n"/>
      <c r="M6" s="6" t="n"/>
      <c r="N6" s="6" t="n"/>
    </row>
    <row r="7">
      <c r="A7" s="12" t="n"/>
      <c r="B7" s="6" t="n"/>
      <c r="C7" s="6" t="n"/>
      <c r="D7" s="6" t="n"/>
      <c r="E7" s="6" t="n"/>
      <c r="F7" s="6" t="n"/>
      <c r="G7" s="6" t="n"/>
      <c r="H7" s="6" t="n"/>
      <c r="I7" s="7" t="n"/>
      <c r="J7" s="7" t="n"/>
      <c r="K7" s="13">
        <f>IF(OR(I7="",J7="",J7=0),"",I7/J7)</f>
        <v/>
      </c>
      <c r="L7" s="6" t="n"/>
      <c r="M7" s="6" t="n"/>
      <c r="N7" s="6" t="n"/>
    </row>
    <row r="8">
      <c r="A8" s="12" t="n"/>
      <c r="B8" s="6" t="n"/>
      <c r="C8" s="6" t="n"/>
      <c r="D8" s="6" t="n"/>
      <c r="E8" s="6" t="n"/>
      <c r="F8" s="6" t="n"/>
      <c r="G8" s="6" t="n"/>
      <c r="H8" s="6" t="n"/>
      <c r="I8" s="7" t="n"/>
      <c r="J8" s="7" t="n"/>
      <c r="K8" s="13">
        <f>IF(OR(I8="",J8="",J8=0),"",I8/J8)</f>
        <v/>
      </c>
      <c r="L8" s="6" t="n"/>
      <c r="M8" s="6" t="n"/>
      <c r="N8" s="6" t="n"/>
    </row>
    <row r="9">
      <c r="A9" s="12" t="n"/>
      <c r="B9" s="6" t="n"/>
      <c r="C9" s="6" t="n"/>
      <c r="D9" s="6" t="n"/>
      <c r="E9" s="6" t="n"/>
      <c r="F9" s="6" t="n"/>
      <c r="G9" s="6" t="n"/>
      <c r="H9" s="6" t="n"/>
      <c r="I9" s="7" t="n"/>
      <c r="J9" s="7" t="n"/>
      <c r="K9" s="13">
        <f>IF(OR(I9="",J9="",J9=0),"",I9/J9)</f>
        <v/>
      </c>
      <c r="L9" s="6" t="n"/>
      <c r="M9" s="6" t="n"/>
      <c r="N9" s="6" t="n"/>
    </row>
    <row r="10">
      <c r="A10" s="12" t="n"/>
      <c r="B10" s="6" t="n"/>
      <c r="C10" s="6" t="n"/>
      <c r="D10" s="6" t="n"/>
      <c r="E10" s="6" t="n"/>
      <c r="F10" s="6" t="n"/>
      <c r="G10" s="6" t="n"/>
      <c r="H10" s="6" t="n"/>
      <c r="I10" s="7" t="n"/>
      <c r="J10" s="7" t="n"/>
      <c r="K10" s="13">
        <f>IF(OR(I10="",J10="",J10=0),"",I10/J10)</f>
        <v/>
      </c>
      <c r="L10" s="6" t="n"/>
      <c r="M10" s="6" t="n"/>
      <c r="N10" s="6" t="n"/>
    </row>
    <row r="11">
      <c r="A11" s="12" t="n"/>
      <c r="B11" s="6" t="n"/>
      <c r="C11" s="6" t="n"/>
      <c r="D11" s="6" t="n"/>
      <c r="E11" s="6" t="n"/>
      <c r="F11" s="6" t="n"/>
      <c r="G11" s="6" t="n"/>
      <c r="H11" s="6" t="n"/>
      <c r="I11" s="7" t="n"/>
      <c r="J11" s="7" t="n"/>
      <c r="K11" s="13">
        <f>IF(OR(I11="",J11="",J11=0),"",I11/J11)</f>
        <v/>
      </c>
      <c r="L11" s="6" t="n"/>
      <c r="M11" s="6" t="n"/>
      <c r="N11" s="6" t="n"/>
    </row>
    <row r="12">
      <c r="A12" s="12" t="n"/>
      <c r="B12" s="6" t="n"/>
      <c r="C12" s="6" t="n"/>
      <c r="D12" s="6" t="n"/>
      <c r="E12" s="6" t="n"/>
      <c r="F12" s="6" t="n"/>
      <c r="G12" s="6" t="n"/>
      <c r="H12" s="6" t="n"/>
      <c r="I12" s="7" t="n"/>
      <c r="J12" s="7" t="n"/>
      <c r="K12" s="13">
        <f>IF(OR(I12="",J12="",J12=0),"",I12/J12)</f>
        <v/>
      </c>
      <c r="L12" s="6" t="n"/>
      <c r="M12" s="6" t="n"/>
      <c r="N12" s="6" t="n"/>
    </row>
    <row r="13">
      <c r="A13" s="12" t="n"/>
      <c r="B13" s="6" t="n"/>
      <c r="C13" s="6" t="n"/>
      <c r="D13" s="6" t="n"/>
      <c r="E13" s="6" t="n"/>
      <c r="F13" s="6" t="n"/>
      <c r="G13" s="6" t="n"/>
      <c r="H13" s="6" t="n"/>
      <c r="I13" s="7" t="n"/>
      <c r="J13" s="7" t="n"/>
      <c r="K13" s="13">
        <f>IF(OR(I13="",J13="",J13=0),"",I13/J13)</f>
        <v/>
      </c>
      <c r="L13" s="6" t="n"/>
      <c r="M13" s="6" t="n"/>
      <c r="N13" s="6" t="n"/>
    </row>
    <row r="14">
      <c r="A14" s="12" t="n"/>
      <c r="B14" s="6" t="n"/>
      <c r="C14" s="6" t="n"/>
      <c r="D14" s="6" t="n"/>
      <c r="E14" s="6" t="n"/>
      <c r="F14" s="6" t="n"/>
      <c r="G14" s="6" t="n"/>
      <c r="H14" s="6" t="n"/>
      <c r="I14" s="7" t="n"/>
      <c r="J14" s="7" t="n"/>
      <c r="K14" s="13">
        <f>IF(OR(I14="",J14="",J14=0),"",I14/J14)</f>
        <v/>
      </c>
      <c r="L14" s="6" t="n"/>
      <c r="M14" s="6" t="n"/>
      <c r="N14" s="6" t="n"/>
    </row>
    <row r="15">
      <c r="A15" s="12" t="n"/>
      <c r="B15" s="6" t="n"/>
      <c r="C15" s="6" t="n"/>
      <c r="D15" s="6" t="n"/>
      <c r="E15" s="6" t="n"/>
      <c r="F15" s="6" t="n"/>
      <c r="G15" s="6" t="n"/>
      <c r="H15" s="6" t="n"/>
      <c r="I15" s="7" t="n"/>
      <c r="J15" s="7" t="n"/>
      <c r="K15" s="13">
        <f>IF(OR(I15="",J15="",J15=0),"",I15/J15)</f>
        <v/>
      </c>
      <c r="L15" s="6" t="n"/>
      <c r="M15" s="6" t="n"/>
      <c r="N15" s="6" t="n"/>
    </row>
    <row r="16">
      <c r="A16" s="12" t="n"/>
      <c r="B16" s="6" t="n"/>
      <c r="C16" s="6" t="n"/>
      <c r="D16" s="6" t="n"/>
      <c r="E16" s="6" t="n"/>
      <c r="F16" s="6" t="n"/>
      <c r="G16" s="6" t="n"/>
      <c r="H16" s="6" t="n"/>
      <c r="I16" s="7" t="n"/>
      <c r="J16" s="7" t="n"/>
      <c r="K16" s="13">
        <f>IF(OR(I16="",J16="",J16=0),"",I16/J16)</f>
        <v/>
      </c>
      <c r="L16" s="6" t="n"/>
      <c r="M16" s="6" t="n"/>
      <c r="N16" s="6" t="n"/>
    </row>
    <row r="17">
      <c r="A17" s="12" t="n"/>
      <c r="B17" s="6" t="n"/>
      <c r="C17" s="6" t="n"/>
      <c r="D17" s="6" t="n"/>
      <c r="E17" s="6" t="n"/>
      <c r="F17" s="6" t="n"/>
      <c r="G17" s="6" t="n"/>
      <c r="H17" s="6" t="n"/>
      <c r="I17" s="7" t="n"/>
      <c r="J17" s="7" t="n"/>
      <c r="K17" s="13">
        <f>IF(OR(I17="",J17="",J17=0),"",I17/J17)</f>
        <v/>
      </c>
      <c r="L17" s="6" t="n"/>
      <c r="M17" s="6" t="n"/>
      <c r="N17" s="6" t="n"/>
    </row>
    <row r="18">
      <c r="A18" s="12" t="n"/>
      <c r="B18" s="6" t="n"/>
      <c r="C18" s="6" t="n"/>
      <c r="D18" s="6" t="n"/>
      <c r="E18" s="6" t="n"/>
      <c r="F18" s="6" t="n"/>
      <c r="G18" s="6" t="n"/>
      <c r="H18" s="6" t="n"/>
      <c r="I18" s="7" t="n"/>
      <c r="J18" s="7" t="n"/>
      <c r="K18" s="13">
        <f>IF(OR(I18="",J18="",J18=0),"",I18/J18)</f>
        <v/>
      </c>
      <c r="L18" s="6" t="n"/>
      <c r="M18" s="6" t="n"/>
      <c r="N18" s="6" t="n"/>
    </row>
    <row r="19">
      <c r="A19" s="12" t="n"/>
      <c r="B19" s="6" t="n"/>
      <c r="C19" s="6" t="n"/>
      <c r="D19" s="6" t="n"/>
      <c r="E19" s="6" t="n"/>
      <c r="F19" s="6" t="n"/>
      <c r="G19" s="6" t="n"/>
      <c r="H19" s="6" t="n"/>
      <c r="I19" s="7" t="n"/>
      <c r="J19" s="7" t="n"/>
      <c r="K19" s="13">
        <f>IF(OR(I19="",J19="",J19=0),"",I19/J19)</f>
        <v/>
      </c>
      <c r="L19" s="6" t="n"/>
      <c r="M19" s="6" t="n"/>
      <c r="N19" s="6" t="n"/>
    </row>
    <row r="20">
      <c r="A20" s="12" t="n"/>
      <c r="B20" s="6" t="n"/>
      <c r="C20" s="6" t="n"/>
      <c r="D20" s="6" t="n"/>
      <c r="E20" s="6" t="n"/>
      <c r="F20" s="6" t="n"/>
      <c r="G20" s="6" t="n"/>
      <c r="H20" s="6" t="n"/>
      <c r="I20" s="7" t="n"/>
      <c r="J20" s="7" t="n"/>
      <c r="K20" s="13">
        <f>IF(OR(I20="",J20="",J20=0),"",I20/J20)</f>
        <v/>
      </c>
      <c r="L20" s="6" t="n"/>
      <c r="M20" s="6" t="n"/>
      <c r="N20" s="6" t="n"/>
    </row>
    <row r="21">
      <c r="A21" s="12" t="n"/>
      <c r="B21" s="6" t="n"/>
      <c r="C21" s="6" t="n"/>
      <c r="D21" s="6" t="n"/>
      <c r="E21" s="6" t="n"/>
      <c r="F21" s="6" t="n"/>
      <c r="G21" s="6" t="n"/>
      <c r="H21" s="6" t="n"/>
      <c r="I21" s="7" t="n"/>
      <c r="J21" s="7" t="n"/>
      <c r="K21" s="13">
        <f>IF(OR(I21="",J21="",J21=0),"",I21/J21)</f>
        <v/>
      </c>
      <c r="L21" s="6" t="n"/>
      <c r="M21" s="6" t="n"/>
      <c r="N21" s="6" t="n"/>
    </row>
    <row r="22">
      <c r="A22" s="12" t="n"/>
      <c r="B22" s="6" t="n"/>
      <c r="C22" s="6" t="n"/>
      <c r="D22" s="6" t="n"/>
      <c r="E22" s="6" t="n"/>
      <c r="F22" s="6" t="n"/>
      <c r="G22" s="6" t="n"/>
      <c r="H22" s="6" t="n"/>
      <c r="I22" s="7" t="n"/>
      <c r="J22" s="7" t="n"/>
      <c r="K22" s="13">
        <f>IF(OR(I22="",J22="",J22=0),"",I22/J22)</f>
        <v/>
      </c>
      <c r="L22" s="6" t="n"/>
      <c r="M22" s="6" t="n"/>
      <c r="N22" s="6" t="n"/>
    </row>
    <row r="23">
      <c r="A23" s="12" t="n"/>
      <c r="B23" s="6" t="n"/>
      <c r="C23" s="6" t="n"/>
      <c r="D23" s="6" t="n"/>
      <c r="E23" s="6" t="n"/>
      <c r="F23" s="6" t="n"/>
      <c r="G23" s="6" t="n"/>
      <c r="H23" s="6" t="n"/>
      <c r="I23" s="7" t="n"/>
      <c r="J23" s="7" t="n"/>
      <c r="K23" s="13">
        <f>IF(OR(I23="",J23="",J23=0),"",I23/J23)</f>
        <v/>
      </c>
      <c r="L23" s="6" t="n"/>
      <c r="M23" s="6" t="n"/>
      <c r="N23" s="6" t="n"/>
    </row>
    <row r="24">
      <c r="A24" s="12" t="n"/>
      <c r="B24" s="6" t="n"/>
      <c r="C24" s="6" t="n"/>
      <c r="D24" s="6" t="n"/>
      <c r="E24" s="6" t="n"/>
      <c r="F24" s="6" t="n"/>
      <c r="G24" s="6" t="n"/>
      <c r="H24" s="6" t="n"/>
      <c r="I24" s="7" t="n"/>
      <c r="J24" s="7" t="n"/>
      <c r="K24" s="13">
        <f>IF(OR(I24="",J24="",J24=0),"",I24/J24)</f>
        <v/>
      </c>
      <c r="L24" s="6" t="n"/>
      <c r="M24" s="6" t="n"/>
      <c r="N24" s="6" t="n"/>
    </row>
    <row r="25">
      <c r="A25" s="12" t="n"/>
      <c r="B25" s="6" t="n"/>
      <c r="C25" s="6" t="n"/>
      <c r="D25" s="6" t="n"/>
      <c r="E25" s="6" t="n"/>
      <c r="F25" s="6" t="n"/>
      <c r="G25" s="6" t="n"/>
      <c r="H25" s="6" t="n"/>
      <c r="I25" s="7" t="n"/>
      <c r="J25" s="7" t="n"/>
      <c r="K25" s="13">
        <f>IF(OR(I25="",J25="",J25=0),"",I25/J25)</f>
        <v/>
      </c>
      <c r="L25" s="6" t="n"/>
      <c r="M25" s="6" t="n"/>
      <c r="N25" s="6" t="n"/>
    </row>
    <row r="26">
      <c r="A26" s="12" t="n"/>
      <c r="B26" s="6" t="n"/>
      <c r="C26" s="6" t="n"/>
      <c r="D26" s="6" t="n"/>
      <c r="E26" s="6" t="n"/>
      <c r="F26" s="6" t="n"/>
      <c r="G26" s="6" t="n"/>
      <c r="H26" s="6" t="n"/>
      <c r="I26" s="7" t="n"/>
      <c r="J26" s="7" t="n"/>
      <c r="K26" s="13">
        <f>IF(OR(I26="",J26="",J26=0),"",I26/J26)</f>
        <v/>
      </c>
      <c r="L26" s="6" t="n"/>
      <c r="M26" s="6" t="n"/>
      <c r="N26" s="6" t="n"/>
    </row>
    <row r="27">
      <c r="A27" s="12" t="n"/>
      <c r="B27" s="6" t="n"/>
      <c r="C27" s="6" t="n"/>
      <c r="D27" s="6" t="n"/>
      <c r="E27" s="6" t="n"/>
      <c r="F27" s="6" t="n"/>
      <c r="G27" s="6" t="n"/>
      <c r="H27" s="6" t="n"/>
      <c r="I27" s="7" t="n"/>
      <c r="J27" s="7" t="n"/>
      <c r="K27" s="13">
        <f>IF(OR(I27="",J27="",J27=0),"",I27/J27)</f>
        <v/>
      </c>
      <c r="L27" s="6" t="n"/>
      <c r="M27" s="6" t="n"/>
      <c r="N27" s="6" t="n"/>
    </row>
    <row r="28">
      <c r="A28" s="12" t="n"/>
      <c r="B28" s="6" t="n"/>
      <c r="C28" s="6" t="n"/>
      <c r="D28" s="6" t="n"/>
      <c r="E28" s="6" t="n"/>
      <c r="F28" s="6" t="n"/>
      <c r="G28" s="6" t="n"/>
      <c r="H28" s="6" t="n"/>
      <c r="I28" s="7" t="n"/>
      <c r="J28" s="7" t="n"/>
      <c r="K28" s="13">
        <f>IF(OR(I28="",J28="",J28=0),"",I28/J28)</f>
        <v/>
      </c>
      <c r="L28" s="6" t="n"/>
      <c r="M28" s="6" t="n"/>
      <c r="N28" s="6" t="n"/>
    </row>
    <row r="29">
      <c r="A29" s="12" t="n"/>
      <c r="B29" s="6" t="n"/>
      <c r="C29" s="6" t="n"/>
      <c r="D29" s="6" t="n"/>
      <c r="E29" s="6" t="n"/>
      <c r="F29" s="6" t="n"/>
      <c r="G29" s="6" t="n"/>
      <c r="H29" s="6" t="n"/>
      <c r="I29" s="7" t="n"/>
      <c r="J29" s="7" t="n"/>
      <c r="K29" s="13">
        <f>IF(OR(I29="",J29="",J29=0),"",I29/J29)</f>
        <v/>
      </c>
      <c r="L29" s="6" t="n"/>
      <c r="M29" s="6" t="n"/>
      <c r="N29" s="6" t="n"/>
    </row>
    <row r="30">
      <c r="A30" s="12" t="n"/>
      <c r="B30" s="6" t="n"/>
      <c r="C30" s="6" t="n"/>
      <c r="D30" s="6" t="n"/>
      <c r="E30" s="6" t="n"/>
      <c r="F30" s="6" t="n"/>
      <c r="G30" s="6" t="n"/>
      <c r="H30" s="6" t="n"/>
      <c r="I30" s="7" t="n"/>
      <c r="J30" s="7" t="n"/>
      <c r="K30" s="13">
        <f>IF(OR(I30="",J30="",J30=0),"",I30/J30)</f>
        <v/>
      </c>
      <c r="L30" s="6" t="n"/>
      <c r="M30" s="6" t="n"/>
      <c r="N30" s="6" t="n"/>
    </row>
    <row r="31">
      <c r="A31" s="12" t="n"/>
      <c r="B31" s="6" t="n"/>
      <c r="C31" s="6" t="n"/>
      <c r="D31" s="6" t="n"/>
      <c r="E31" s="6" t="n"/>
      <c r="F31" s="6" t="n"/>
      <c r="G31" s="6" t="n"/>
      <c r="H31" s="6" t="n"/>
      <c r="I31" s="7" t="n"/>
      <c r="J31" s="7" t="n"/>
      <c r="K31" s="13">
        <f>IF(OR(I31="",J31="",J31=0),"",I31/J31)</f>
        <v/>
      </c>
      <c r="L31" s="6" t="n"/>
      <c r="M31" s="6" t="n"/>
      <c r="N31" s="6" t="n"/>
    </row>
    <row r="32">
      <c r="A32" s="12" t="n"/>
      <c r="B32" s="6" t="n"/>
      <c r="C32" s="6" t="n"/>
      <c r="D32" s="6" t="n"/>
      <c r="E32" s="6" t="n"/>
      <c r="F32" s="6" t="n"/>
      <c r="G32" s="6" t="n"/>
      <c r="H32" s="6" t="n"/>
      <c r="I32" s="7" t="n"/>
      <c r="J32" s="7" t="n"/>
      <c r="K32" s="13">
        <f>IF(OR(I32="",J32="",J32=0),"",I32/J32)</f>
        <v/>
      </c>
      <c r="L32" s="6" t="n"/>
      <c r="M32" s="6" t="n"/>
      <c r="N32" s="6" t="n"/>
    </row>
    <row r="33">
      <c r="A33" s="12" t="n"/>
      <c r="B33" s="6" t="n"/>
      <c r="C33" s="6" t="n"/>
      <c r="D33" s="6" t="n"/>
      <c r="E33" s="6" t="n"/>
      <c r="F33" s="6" t="n"/>
      <c r="G33" s="6" t="n"/>
      <c r="H33" s="6" t="n"/>
      <c r="I33" s="7" t="n"/>
      <c r="J33" s="7" t="n"/>
      <c r="K33" s="13">
        <f>IF(OR(I33="",J33="",J33=0),"",I33/J33)</f>
        <v/>
      </c>
      <c r="L33" s="6" t="n"/>
      <c r="M33" s="6" t="n"/>
      <c r="N33" s="6" t="n"/>
    </row>
    <row r="34">
      <c r="A34" s="12" t="n"/>
      <c r="B34" s="6" t="n"/>
      <c r="C34" s="6" t="n"/>
      <c r="D34" s="6" t="n"/>
      <c r="E34" s="6" t="n"/>
      <c r="F34" s="6" t="n"/>
      <c r="G34" s="6" t="n"/>
      <c r="H34" s="6" t="n"/>
      <c r="I34" s="7" t="n"/>
      <c r="J34" s="7" t="n"/>
      <c r="K34" s="13">
        <f>IF(OR(I34="",J34="",J34=0),"",I34/J34)</f>
        <v/>
      </c>
      <c r="L34" s="6" t="n"/>
      <c r="M34" s="6" t="n"/>
      <c r="N34" s="6" t="n"/>
    </row>
    <row r="35">
      <c r="A35" s="12" t="n"/>
      <c r="B35" s="6" t="n"/>
      <c r="C35" s="6" t="n"/>
      <c r="D35" s="6" t="n"/>
      <c r="E35" s="6" t="n"/>
      <c r="F35" s="6" t="n"/>
      <c r="G35" s="6" t="n"/>
      <c r="H35" s="6" t="n"/>
      <c r="I35" s="7" t="n"/>
      <c r="J35" s="7" t="n"/>
      <c r="K35" s="13">
        <f>IF(OR(I35="",J35="",J35=0),"",I35/J35)</f>
        <v/>
      </c>
      <c r="L35" s="6" t="n"/>
      <c r="M35" s="6" t="n"/>
      <c r="N35" s="6" t="n"/>
    </row>
    <row r="36">
      <c r="A36" s="12" t="n"/>
      <c r="B36" s="6" t="n"/>
      <c r="C36" s="6" t="n"/>
      <c r="D36" s="6" t="n"/>
      <c r="E36" s="6" t="n"/>
      <c r="F36" s="6" t="n"/>
      <c r="G36" s="6" t="n"/>
      <c r="H36" s="6" t="n"/>
      <c r="I36" s="7" t="n"/>
      <c r="J36" s="7" t="n"/>
      <c r="K36" s="13">
        <f>IF(OR(I36="",J36="",J36=0),"",I36/J36)</f>
        <v/>
      </c>
      <c r="L36" s="6" t="n"/>
      <c r="M36" s="6" t="n"/>
      <c r="N36" s="6" t="n"/>
    </row>
    <row r="37">
      <c r="A37" s="12" t="n"/>
      <c r="B37" s="6" t="n"/>
      <c r="C37" s="6" t="n"/>
      <c r="D37" s="6" t="n"/>
      <c r="E37" s="6" t="n"/>
      <c r="F37" s="6" t="n"/>
      <c r="G37" s="6" t="n"/>
      <c r="H37" s="6" t="n"/>
      <c r="I37" s="7" t="n"/>
      <c r="J37" s="7" t="n"/>
      <c r="K37" s="13">
        <f>IF(OR(I37="",J37="",J37=0),"",I37/J37)</f>
        <v/>
      </c>
      <c r="L37" s="6" t="n"/>
      <c r="M37" s="6" t="n"/>
      <c r="N37" s="6" t="n"/>
    </row>
    <row r="38">
      <c r="A38" s="12" t="n"/>
      <c r="B38" s="6" t="n"/>
      <c r="C38" s="6" t="n"/>
      <c r="D38" s="6" t="n"/>
      <c r="E38" s="6" t="n"/>
      <c r="F38" s="6" t="n"/>
      <c r="G38" s="6" t="n"/>
      <c r="H38" s="6" t="n"/>
      <c r="I38" s="7" t="n"/>
      <c r="J38" s="7" t="n"/>
      <c r="K38" s="13">
        <f>IF(OR(I38="",J38="",J38=0),"",I38/J38)</f>
        <v/>
      </c>
      <c r="L38" s="6" t="n"/>
      <c r="M38" s="6" t="n"/>
      <c r="N38" s="6" t="n"/>
    </row>
    <row r="39">
      <c r="A39" s="12" t="n"/>
      <c r="B39" s="6" t="n"/>
      <c r="C39" s="6" t="n"/>
      <c r="D39" s="6" t="n"/>
      <c r="E39" s="6" t="n"/>
      <c r="F39" s="6" t="n"/>
      <c r="G39" s="6" t="n"/>
      <c r="H39" s="6" t="n"/>
      <c r="I39" s="7" t="n"/>
      <c r="J39" s="7" t="n"/>
      <c r="K39" s="13">
        <f>IF(OR(I39="",J39="",J39=0),"",I39/J39)</f>
        <v/>
      </c>
      <c r="L39" s="6" t="n"/>
      <c r="M39" s="6" t="n"/>
      <c r="N39" s="6" t="n"/>
    </row>
    <row r="40">
      <c r="A40" s="12" t="n"/>
      <c r="B40" s="6" t="n"/>
      <c r="C40" s="6" t="n"/>
      <c r="D40" s="6" t="n"/>
      <c r="E40" s="6" t="n"/>
      <c r="F40" s="6" t="n"/>
      <c r="G40" s="6" t="n"/>
      <c r="H40" s="6" t="n"/>
      <c r="I40" s="7" t="n"/>
      <c r="J40" s="7" t="n"/>
      <c r="K40" s="13">
        <f>IF(OR(I40="",J40="",J40=0),"",I40/J40)</f>
        <v/>
      </c>
      <c r="L40" s="6" t="n"/>
      <c r="M40" s="6" t="n"/>
      <c r="N40" s="6" t="n"/>
    </row>
    <row r="41">
      <c r="A41" s="12" t="n"/>
      <c r="B41" s="6" t="n"/>
      <c r="C41" s="6" t="n"/>
      <c r="D41" s="6" t="n"/>
      <c r="E41" s="6" t="n"/>
      <c r="F41" s="6" t="n"/>
      <c r="G41" s="6" t="n"/>
      <c r="H41" s="6" t="n"/>
      <c r="I41" s="7" t="n"/>
      <c r="J41" s="7" t="n"/>
      <c r="K41" s="13">
        <f>IF(OR(I41="",J41="",J41=0),"",I41/J41)</f>
        <v/>
      </c>
      <c r="L41" s="6" t="n"/>
      <c r="M41" s="6" t="n"/>
      <c r="N41" s="6" t="n"/>
    </row>
    <row r="42">
      <c r="A42" s="12" t="n"/>
      <c r="B42" s="6" t="n"/>
      <c r="C42" s="6" t="n"/>
      <c r="D42" s="6" t="n"/>
      <c r="E42" s="6" t="n"/>
      <c r="F42" s="6" t="n"/>
      <c r="G42" s="6" t="n"/>
      <c r="H42" s="6" t="n"/>
      <c r="I42" s="7" t="n"/>
      <c r="J42" s="7" t="n"/>
      <c r="K42" s="13">
        <f>IF(OR(I42="",J42="",J42=0),"",I42/J42)</f>
        <v/>
      </c>
      <c r="L42" s="6" t="n"/>
      <c r="M42" s="6" t="n"/>
      <c r="N42" s="6" t="n"/>
    </row>
    <row r="43">
      <c r="A43" s="12" t="n"/>
      <c r="B43" s="6" t="n"/>
      <c r="C43" s="6" t="n"/>
      <c r="D43" s="6" t="n"/>
      <c r="E43" s="6" t="n"/>
      <c r="F43" s="6" t="n"/>
      <c r="G43" s="6" t="n"/>
      <c r="H43" s="6" t="n"/>
      <c r="I43" s="7" t="n"/>
      <c r="J43" s="7" t="n"/>
      <c r="K43" s="13">
        <f>IF(OR(I43="",J43="",J43=0),"",I43/J43)</f>
        <v/>
      </c>
      <c r="L43" s="6" t="n"/>
      <c r="M43" s="6" t="n"/>
      <c r="N43" s="6" t="n"/>
    </row>
    <row r="44">
      <c r="A44" s="12" t="n"/>
      <c r="B44" s="6" t="n"/>
      <c r="C44" s="6" t="n"/>
      <c r="D44" s="6" t="n"/>
      <c r="E44" s="6" t="n"/>
      <c r="F44" s="6" t="n"/>
      <c r="G44" s="6" t="n"/>
      <c r="H44" s="6" t="n"/>
      <c r="I44" s="7" t="n"/>
      <c r="J44" s="7" t="n"/>
      <c r="K44" s="13">
        <f>IF(OR(I44="",J44="",J44=0),"",I44/J44)</f>
        <v/>
      </c>
      <c r="L44" s="6" t="n"/>
      <c r="M44" s="6" t="n"/>
      <c r="N44" s="6" t="n"/>
    </row>
    <row r="45">
      <c r="A45" s="12" t="n"/>
      <c r="B45" s="6" t="n"/>
      <c r="C45" s="6" t="n"/>
      <c r="D45" s="6" t="n"/>
      <c r="E45" s="6" t="n"/>
      <c r="F45" s="6" t="n"/>
      <c r="G45" s="6" t="n"/>
      <c r="H45" s="6" t="n"/>
      <c r="I45" s="7" t="n"/>
      <c r="J45" s="7" t="n"/>
      <c r="K45" s="13">
        <f>IF(OR(I45="",J45="",J45=0),"",I45/J45)</f>
        <v/>
      </c>
      <c r="L45" s="6" t="n"/>
      <c r="M45" s="6" t="n"/>
      <c r="N45" s="6" t="n"/>
    </row>
    <row r="46">
      <c r="A46" s="12" t="n"/>
      <c r="B46" s="6" t="n"/>
      <c r="C46" s="6" t="n"/>
      <c r="D46" s="6" t="n"/>
      <c r="E46" s="6" t="n"/>
      <c r="F46" s="6" t="n"/>
      <c r="G46" s="6" t="n"/>
      <c r="H46" s="6" t="n"/>
      <c r="I46" s="7" t="n"/>
      <c r="J46" s="7" t="n"/>
      <c r="K46" s="13">
        <f>IF(OR(I46="",J46="",J46=0),"",I46/J46)</f>
        <v/>
      </c>
      <c r="L46" s="6" t="n"/>
      <c r="M46" s="6" t="n"/>
      <c r="N46" s="6" t="n"/>
    </row>
    <row r="47">
      <c r="A47" s="12" t="n"/>
      <c r="B47" s="6" t="n"/>
      <c r="C47" s="6" t="n"/>
      <c r="D47" s="6" t="n"/>
      <c r="E47" s="6" t="n"/>
      <c r="F47" s="6" t="n"/>
      <c r="G47" s="6" t="n"/>
      <c r="H47" s="6" t="n"/>
      <c r="I47" s="7" t="n"/>
      <c r="J47" s="7" t="n"/>
      <c r="K47" s="13">
        <f>IF(OR(I47="",J47="",J47=0),"",I47/J47)</f>
        <v/>
      </c>
      <c r="L47" s="6" t="n"/>
      <c r="M47" s="6" t="n"/>
      <c r="N47" s="6" t="n"/>
    </row>
    <row r="48">
      <c r="A48" s="12" t="n"/>
      <c r="B48" s="6" t="n"/>
      <c r="C48" s="6" t="n"/>
      <c r="D48" s="6" t="n"/>
      <c r="E48" s="6" t="n"/>
      <c r="F48" s="6" t="n"/>
      <c r="G48" s="6" t="n"/>
      <c r="H48" s="6" t="n"/>
      <c r="I48" s="7" t="n"/>
      <c r="J48" s="7" t="n"/>
      <c r="K48" s="13">
        <f>IF(OR(I48="",J48="",J48=0),"",I48/J48)</f>
        <v/>
      </c>
      <c r="L48" s="6" t="n"/>
      <c r="M48" s="6" t="n"/>
      <c r="N48" s="6" t="n"/>
    </row>
    <row r="49">
      <c r="A49" s="12" t="n"/>
      <c r="B49" s="6" t="n"/>
      <c r="C49" s="6" t="n"/>
      <c r="D49" s="6" t="n"/>
      <c r="E49" s="6" t="n"/>
      <c r="F49" s="6" t="n"/>
      <c r="G49" s="6" t="n"/>
      <c r="H49" s="6" t="n"/>
      <c r="I49" s="7" t="n"/>
      <c r="J49" s="7" t="n"/>
      <c r="K49" s="13">
        <f>IF(OR(I49="",J49="",J49=0),"",I49/J49)</f>
        <v/>
      </c>
      <c r="L49" s="6" t="n"/>
      <c r="M49" s="6" t="n"/>
      <c r="N49" s="6" t="n"/>
    </row>
    <row r="50">
      <c r="A50" s="12" t="n"/>
      <c r="B50" s="6" t="n"/>
      <c r="C50" s="6" t="n"/>
      <c r="D50" s="6" t="n"/>
      <c r="E50" s="6" t="n"/>
      <c r="F50" s="6" t="n"/>
      <c r="G50" s="6" t="n"/>
      <c r="H50" s="6" t="n"/>
      <c r="I50" s="7" t="n"/>
      <c r="J50" s="7" t="n"/>
      <c r="K50" s="13">
        <f>IF(OR(I50="",J50="",J50=0),"",I50/J50)</f>
        <v/>
      </c>
      <c r="L50" s="6" t="n"/>
      <c r="M50" s="6" t="n"/>
      <c r="N50" s="6" t="n"/>
    </row>
    <row r="51">
      <c r="A51" s="12" t="n"/>
      <c r="B51" s="6" t="n"/>
      <c r="C51" s="6" t="n"/>
      <c r="D51" s="6" t="n"/>
      <c r="E51" s="6" t="n"/>
      <c r="F51" s="6" t="n"/>
      <c r="G51" s="6" t="n"/>
      <c r="H51" s="6" t="n"/>
      <c r="I51" s="7" t="n"/>
      <c r="J51" s="7" t="n"/>
      <c r="K51" s="13">
        <f>IF(OR(I51="",J51="",J51=0),"",I51/J51)</f>
        <v/>
      </c>
      <c r="L51" s="6" t="n"/>
      <c r="M51" s="6" t="n"/>
      <c r="N51" s="6" t="n"/>
    </row>
    <row r="52">
      <c r="A52" s="12" t="n"/>
      <c r="B52" s="6" t="n"/>
      <c r="C52" s="6" t="n"/>
      <c r="D52" s="6" t="n"/>
      <c r="E52" s="6" t="n"/>
      <c r="F52" s="6" t="n"/>
      <c r="G52" s="6" t="n"/>
      <c r="H52" s="6" t="n"/>
      <c r="I52" s="7" t="n"/>
      <c r="J52" s="7" t="n"/>
      <c r="K52" s="13">
        <f>IF(OR(I52="",J52="",J52=0),"",I52/J52)</f>
        <v/>
      </c>
      <c r="L52" s="6" t="n"/>
      <c r="M52" s="6" t="n"/>
      <c r="N52" s="6" t="n"/>
    </row>
    <row r="53">
      <c r="A53" s="12" t="n"/>
      <c r="B53" s="6" t="n"/>
      <c r="C53" s="6" t="n"/>
      <c r="D53" s="6" t="n"/>
      <c r="E53" s="6" t="n"/>
      <c r="F53" s="6" t="n"/>
      <c r="G53" s="6" t="n"/>
      <c r="H53" s="6" t="n"/>
      <c r="I53" s="7" t="n"/>
      <c r="J53" s="7" t="n"/>
      <c r="K53" s="13">
        <f>IF(OR(I53="",J53="",J53=0),"",I53/J53)</f>
        <v/>
      </c>
      <c r="L53" s="6" t="n"/>
      <c r="M53" s="6" t="n"/>
      <c r="N53" s="6" t="n"/>
    </row>
    <row r="54">
      <c r="A54" s="12" t="n"/>
      <c r="B54" s="6" t="n"/>
      <c r="C54" s="6" t="n"/>
      <c r="D54" s="6" t="n"/>
      <c r="E54" s="6" t="n"/>
      <c r="F54" s="6" t="n"/>
      <c r="G54" s="6" t="n"/>
      <c r="H54" s="6" t="n"/>
      <c r="I54" s="7" t="n"/>
      <c r="J54" s="7" t="n"/>
      <c r="K54" s="13">
        <f>IF(OR(I54="",J54="",J54=0),"",I54/J54)</f>
        <v/>
      </c>
      <c r="L54" s="6" t="n"/>
      <c r="M54" s="6" t="n"/>
      <c r="N54" s="6" t="n"/>
    </row>
    <row r="55">
      <c r="A55" s="12" t="n"/>
      <c r="B55" s="6" t="n"/>
      <c r="C55" s="6" t="n"/>
      <c r="D55" s="6" t="n"/>
      <c r="E55" s="6" t="n"/>
      <c r="F55" s="6" t="n"/>
      <c r="G55" s="6" t="n"/>
      <c r="H55" s="6" t="n"/>
      <c r="I55" s="7" t="n"/>
      <c r="J55" s="7" t="n"/>
      <c r="K55" s="13">
        <f>IF(OR(I55="",J55="",J55=0),"",I55/J55)</f>
        <v/>
      </c>
      <c r="L55" s="6" t="n"/>
      <c r="M55" s="6" t="n"/>
      <c r="N55" s="6" t="n"/>
    </row>
    <row r="56">
      <c r="A56" s="12" t="n"/>
      <c r="B56" s="6" t="n"/>
      <c r="C56" s="6" t="n"/>
      <c r="D56" s="6" t="n"/>
      <c r="E56" s="6" t="n"/>
      <c r="F56" s="6" t="n"/>
      <c r="G56" s="6" t="n"/>
      <c r="H56" s="6" t="n"/>
      <c r="I56" s="7" t="n"/>
      <c r="J56" s="7" t="n"/>
      <c r="K56" s="13">
        <f>IF(OR(I56="",J56="",J56=0),"",I56/J56)</f>
        <v/>
      </c>
      <c r="L56" s="6" t="n"/>
      <c r="M56" s="6" t="n"/>
      <c r="N56" s="6" t="n"/>
    </row>
    <row r="57">
      <c r="A57" s="12" t="n"/>
      <c r="B57" s="6" t="n"/>
      <c r="C57" s="6" t="n"/>
      <c r="D57" s="6" t="n"/>
      <c r="E57" s="6" t="n"/>
      <c r="F57" s="6" t="n"/>
      <c r="G57" s="6" t="n"/>
      <c r="H57" s="6" t="n"/>
      <c r="I57" s="7" t="n"/>
      <c r="J57" s="7" t="n"/>
      <c r="K57" s="13">
        <f>IF(OR(I57="",J57="",J57=0),"",I57/J57)</f>
        <v/>
      </c>
      <c r="L57" s="6" t="n"/>
      <c r="M57" s="6" t="n"/>
      <c r="N57" s="6" t="n"/>
    </row>
    <row r="58">
      <c r="A58" s="12" t="n"/>
      <c r="B58" s="6" t="n"/>
      <c r="C58" s="6" t="n"/>
      <c r="D58" s="6" t="n"/>
      <c r="E58" s="6" t="n"/>
      <c r="F58" s="6" t="n"/>
      <c r="G58" s="6" t="n"/>
      <c r="H58" s="6" t="n"/>
      <c r="I58" s="7" t="n"/>
      <c r="J58" s="7" t="n"/>
      <c r="K58" s="13">
        <f>IF(OR(I58="",J58="",J58=0),"",I58/J58)</f>
        <v/>
      </c>
      <c r="L58" s="6" t="n"/>
      <c r="M58" s="6" t="n"/>
      <c r="N58" s="6" t="n"/>
    </row>
    <row r="59">
      <c r="A59" s="12" t="n"/>
      <c r="B59" s="6" t="n"/>
      <c r="C59" s="6" t="n"/>
      <c r="D59" s="6" t="n"/>
      <c r="E59" s="6" t="n"/>
      <c r="F59" s="6" t="n"/>
      <c r="G59" s="6" t="n"/>
      <c r="H59" s="6" t="n"/>
      <c r="I59" s="7" t="n"/>
      <c r="J59" s="7" t="n"/>
      <c r="K59" s="13">
        <f>IF(OR(I59="",J59="",J59=0),"",I59/J59)</f>
        <v/>
      </c>
      <c r="L59" s="6" t="n"/>
      <c r="M59" s="6" t="n"/>
      <c r="N59" s="6" t="n"/>
    </row>
    <row r="60">
      <c r="A60" s="12" t="n"/>
      <c r="B60" s="6" t="n"/>
      <c r="C60" s="6" t="n"/>
      <c r="D60" s="6" t="n"/>
      <c r="E60" s="6" t="n"/>
      <c r="F60" s="6" t="n"/>
      <c r="G60" s="6" t="n"/>
      <c r="H60" s="6" t="n"/>
      <c r="I60" s="7" t="n"/>
      <c r="J60" s="7" t="n"/>
      <c r="K60" s="13">
        <f>IF(OR(I60="",J60="",J60=0),"",I60/J60)</f>
        <v/>
      </c>
      <c r="L60" s="6" t="n"/>
      <c r="M60" s="6" t="n"/>
      <c r="N60" s="6" t="n"/>
    </row>
    <row r="61">
      <c r="A61" s="12" t="n"/>
      <c r="B61" s="6" t="n"/>
      <c r="C61" s="6" t="n"/>
      <c r="D61" s="6" t="n"/>
      <c r="E61" s="6" t="n"/>
      <c r="F61" s="6" t="n"/>
      <c r="G61" s="6" t="n"/>
      <c r="H61" s="6" t="n"/>
      <c r="I61" s="7" t="n"/>
      <c r="J61" s="7" t="n"/>
      <c r="K61" s="13">
        <f>IF(OR(I61="",J61="",J61=0),"",I61/J61)</f>
        <v/>
      </c>
      <c r="L61" s="6" t="n"/>
      <c r="M61" s="6" t="n"/>
      <c r="N61" s="6" t="n"/>
    </row>
    <row r="62">
      <c r="A62" s="12" t="n"/>
      <c r="B62" s="6" t="n"/>
      <c r="C62" s="6" t="n"/>
      <c r="D62" s="6" t="n"/>
      <c r="E62" s="6" t="n"/>
      <c r="F62" s="6" t="n"/>
      <c r="G62" s="6" t="n"/>
      <c r="H62" s="6" t="n"/>
      <c r="I62" s="7" t="n"/>
      <c r="J62" s="7" t="n"/>
      <c r="K62" s="13">
        <f>IF(OR(I62="",J62="",J62=0),"",I62/J62)</f>
        <v/>
      </c>
      <c r="L62" s="6" t="n"/>
      <c r="M62" s="6" t="n"/>
      <c r="N62" s="6" t="n"/>
    </row>
    <row r="63">
      <c r="A63" s="12" t="n"/>
      <c r="B63" s="6" t="n"/>
      <c r="C63" s="6" t="n"/>
      <c r="D63" s="6" t="n"/>
      <c r="E63" s="6" t="n"/>
      <c r="F63" s="6" t="n"/>
      <c r="G63" s="6" t="n"/>
      <c r="H63" s="6" t="n"/>
      <c r="I63" s="7" t="n"/>
      <c r="J63" s="7" t="n"/>
      <c r="K63" s="13">
        <f>IF(OR(I63="",J63="",J63=0),"",I63/J63)</f>
        <v/>
      </c>
      <c r="L63" s="6" t="n"/>
      <c r="M63" s="6" t="n"/>
      <c r="N63" s="6" t="n"/>
    </row>
    <row r="64">
      <c r="A64" s="12" t="n"/>
      <c r="B64" s="6" t="n"/>
      <c r="C64" s="6" t="n"/>
      <c r="D64" s="6" t="n"/>
      <c r="E64" s="6" t="n"/>
      <c r="F64" s="6" t="n"/>
      <c r="G64" s="6" t="n"/>
      <c r="H64" s="6" t="n"/>
      <c r="I64" s="7" t="n"/>
      <c r="J64" s="7" t="n"/>
      <c r="K64" s="13">
        <f>IF(OR(I64="",J64="",J64=0),"",I64/J64)</f>
        <v/>
      </c>
      <c r="L64" s="6" t="n"/>
      <c r="M64" s="6" t="n"/>
      <c r="N64" s="6" t="n"/>
    </row>
    <row r="65">
      <c r="A65" s="12" t="n"/>
      <c r="B65" s="6" t="n"/>
      <c r="C65" s="6" t="n"/>
      <c r="D65" s="6" t="n"/>
      <c r="E65" s="6" t="n"/>
      <c r="F65" s="6" t="n"/>
      <c r="G65" s="6" t="n"/>
      <c r="H65" s="6" t="n"/>
      <c r="I65" s="7" t="n"/>
      <c r="J65" s="7" t="n"/>
      <c r="K65" s="13">
        <f>IF(OR(I65="",J65="",J65=0),"",I65/J65)</f>
        <v/>
      </c>
      <c r="L65" s="6" t="n"/>
      <c r="M65" s="6" t="n"/>
      <c r="N65" s="6" t="n"/>
    </row>
    <row r="66">
      <c r="A66" s="12" t="n"/>
      <c r="B66" s="6" t="n"/>
      <c r="C66" s="6" t="n"/>
      <c r="D66" s="6" t="n"/>
      <c r="E66" s="6" t="n"/>
      <c r="F66" s="6" t="n"/>
      <c r="G66" s="6" t="n"/>
      <c r="H66" s="6" t="n"/>
      <c r="I66" s="7" t="n"/>
      <c r="J66" s="7" t="n"/>
      <c r="K66" s="13">
        <f>IF(OR(I66="",J66="",J66=0),"",I66/J66)</f>
        <v/>
      </c>
      <c r="L66" s="6" t="n"/>
      <c r="M66" s="6" t="n"/>
      <c r="N66" s="6" t="n"/>
    </row>
    <row r="67">
      <c r="A67" s="12" t="n"/>
      <c r="B67" s="6" t="n"/>
      <c r="C67" s="6" t="n"/>
      <c r="D67" s="6" t="n"/>
      <c r="E67" s="6" t="n"/>
      <c r="F67" s="6" t="n"/>
      <c r="G67" s="6" t="n"/>
      <c r="H67" s="6" t="n"/>
      <c r="I67" s="7" t="n"/>
      <c r="J67" s="7" t="n"/>
      <c r="K67" s="13">
        <f>IF(OR(I67="",J67="",J67=0),"",I67/J67)</f>
        <v/>
      </c>
      <c r="L67" s="6" t="n"/>
      <c r="M67" s="6" t="n"/>
      <c r="N67" s="6" t="n"/>
    </row>
    <row r="68">
      <c r="A68" s="12" t="n"/>
      <c r="B68" s="6" t="n"/>
      <c r="C68" s="6" t="n"/>
      <c r="D68" s="6" t="n"/>
      <c r="E68" s="6" t="n"/>
      <c r="F68" s="6" t="n"/>
      <c r="G68" s="6" t="n"/>
      <c r="H68" s="6" t="n"/>
      <c r="I68" s="7" t="n"/>
      <c r="J68" s="7" t="n"/>
      <c r="K68" s="13">
        <f>IF(OR(I68="",J68="",J68=0),"",I68/J68)</f>
        <v/>
      </c>
      <c r="L68" s="6" t="n"/>
      <c r="M68" s="6" t="n"/>
      <c r="N68" s="6" t="n"/>
    </row>
    <row r="69">
      <c r="A69" s="12" t="n"/>
      <c r="B69" s="6" t="n"/>
      <c r="C69" s="6" t="n"/>
      <c r="D69" s="6" t="n"/>
      <c r="E69" s="6" t="n"/>
      <c r="F69" s="6" t="n"/>
      <c r="G69" s="6" t="n"/>
      <c r="H69" s="6" t="n"/>
      <c r="I69" s="7" t="n"/>
      <c r="J69" s="7" t="n"/>
      <c r="K69" s="13">
        <f>IF(OR(I69="",J69="",J69=0),"",I69/J69)</f>
        <v/>
      </c>
      <c r="L69" s="6" t="n"/>
      <c r="M69" s="6" t="n"/>
      <c r="N69" s="6" t="n"/>
    </row>
    <row r="70">
      <c r="A70" s="12" t="n"/>
      <c r="B70" s="6" t="n"/>
      <c r="C70" s="6" t="n"/>
      <c r="D70" s="6" t="n"/>
      <c r="E70" s="6" t="n"/>
      <c r="F70" s="6" t="n"/>
      <c r="G70" s="6" t="n"/>
      <c r="H70" s="6" t="n"/>
      <c r="I70" s="7" t="n"/>
      <c r="J70" s="7" t="n"/>
      <c r="K70" s="13">
        <f>IF(OR(I70="",J70="",J70=0),"",I70/J70)</f>
        <v/>
      </c>
      <c r="L70" s="6" t="n"/>
      <c r="M70" s="6" t="n"/>
      <c r="N70" s="6" t="n"/>
    </row>
    <row r="71">
      <c r="A71" s="12" t="n"/>
      <c r="B71" s="6" t="n"/>
      <c r="C71" s="6" t="n"/>
      <c r="D71" s="6" t="n"/>
      <c r="E71" s="6" t="n"/>
      <c r="F71" s="6" t="n"/>
      <c r="G71" s="6" t="n"/>
      <c r="H71" s="6" t="n"/>
      <c r="I71" s="7" t="n"/>
      <c r="J71" s="7" t="n"/>
      <c r="K71" s="13">
        <f>IF(OR(I71="",J71="",J71=0),"",I71/J71)</f>
        <v/>
      </c>
      <c r="L71" s="6" t="n"/>
      <c r="M71" s="6" t="n"/>
      <c r="N71" s="6" t="n"/>
    </row>
    <row r="72">
      <c r="A72" s="12" t="n"/>
      <c r="B72" s="6" t="n"/>
      <c r="C72" s="6" t="n"/>
      <c r="D72" s="6" t="n"/>
      <c r="E72" s="6" t="n"/>
      <c r="F72" s="6" t="n"/>
      <c r="G72" s="6" t="n"/>
      <c r="H72" s="6" t="n"/>
      <c r="I72" s="7" t="n"/>
      <c r="J72" s="7" t="n"/>
      <c r="K72" s="13">
        <f>IF(OR(I72="",J72="",J72=0),"",I72/J72)</f>
        <v/>
      </c>
      <c r="L72" s="6" t="n"/>
      <c r="M72" s="6" t="n"/>
      <c r="N72" s="6" t="n"/>
    </row>
    <row r="73">
      <c r="A73" s="12" t="n"/>
      <c r="B73" s="6" t="n"/>
      <c r="C73" s="6" t="n"/>
      <c r="D73" s="6" t="n"/>
      <c r="E73" s="6" t="n"/>
      <c r="F73" s="6" t="n"/>
      <c r="G73" s="6" t="n"/>
      <c r="H73" s="6" t="n"/>
      <c r="I73" s="7" t="n"/>
      <c r="J73" s="7" t="n"/>
      <c r="K73" s="13">
        <f>IF(OR(I73="",J73="",J73=0),"",I73/J73)</f>
        <v/>
      </c>
      <c r="L73" s="6" t="n"/>
      <c r="M73" s="6" t="n"/>
      <c r="N73" s="6" t="n"/>
    </row>
    <row r="74">
      <c r="A74" s="12" t="n"/>
      <c r="B74" s="6" t="n"/>
      <c r="C74" s="6" t="n"/>
      <c r="D74" s="6" t="n"/>
      <c r="E74" s="6" t="n"/>
      <c r="F74" s="6" t="n"/>
      <c r="G74" s="6" t="n"/>
      <c r="H74" s="6" t="n"/>
      <c r="I74" s="7" t="n"/>
      <c r="J74" s="7" t="n"/>
      <c r="K74" s="13">
        <f>IF(OR(I74="",J74="",J74=0),"",I74/J74)</f>
        <v/>
      </c>
      <c r="L74" s="6" t="n"/>
      <c r="M74" s="6" t="n"/>
      <c r="N74" s="6" t="n"/>
    </row>
    <row r="75">
      <c r="A75" s="12" t="n"/>
      <c r="B75" s="6" t="n"/>
      <c r="C75" s="6" t="n"/>
      <c r="D75" s="6" t="n"/>
      <c r="E75" s="6" t="n"/>
      <c r="F75" s="6" t="n"/>
      <c r="G75" s="6" t="n"/>
      <c r="H75" s="6" t="n"/>
      <c r="I75" s="7" t="n"/>
      <c r="J75" s="7" t="n"/>
      <c r="K75" s="13">
        <f>IF(OR(I75="",J75="",J75=0),"",I75/J75)</f>
        <v/>
      </c>
      <c r="L75" s="6" t="n"/>
      <c r="M75" s="6" t="n"/>
      <c r="N75" s="6" t="n"/>
    </row>
    <row r="76">
      <c r="A76" s="12" t="n"/>
      <c r="B76" s="6" t="n"/>
      <c r="C76" s="6" t="n"/>
      <c r="D76" s="6" t="n"/>
      <c r="E76" s="6" t="n"/>
      <c r="F76" s="6" t="n"/>
      <c r="G76" s="6" t="n"/>
      <c r="H76" s="6" t="n"/>
      <c r="I76" s="7" t="n"/>
      <c r="J76" s="7" t="n"/>
      <c r="K76" s="13">
        <f>IF(OR(I76="",J76="",J76=0),"",I76/J76)</f>
        <v/>
      </c>
      <c r="L76" s="6" t="n"/>
      <c r="M76" s="6" t="n"/>
      <c r="N76" s="6" t="n"/>
    </row>
    <row r="77">
      <c r="A77" s="12" t="n"/>
      <c r="B77" s="6" t="n"/>
      <c r="C77" s="6" t="n"/>
      <c r="D77" s="6" t="n"/>
      <c r="E77" s="6" t="n"/>
      <c r="F77" s="6" t="n"/>
      <c r="G77" s="6" t="n"/>
      <c r="H77" s="6" t="n"/>
      <c r="I77" s="7" t="n"/>
      <c r="J77" s="7" t="n"/>
      <c r="K77" s="13">
        <f>IF(OR(I77="",J77="",J77=0),"",I77/J77)</f>
        <v/>
      </c>
      <c r="L77" s="6" t="n"/>
      <c r="M77" s="6" t="n"/>
      <c r="N77" s="6" t="n"/>
    </row>
    <row r="78">
      <c r="A78" s="12" t="n"/>
      <c r="B78" s="6" t="n"/>
      <c r="C78" s="6" t="n"/>
      <c r="D78" s="6" t="n"/>
      <c r="E78" s="6" t="n"/>
      <c r="F78" s="6" t="n"/>
      <c r="G78" s="6" t="n"/>
      <c r="H78" s="6" t="n"/>
      <c r="I78" s="7" t="n"/>
      <c r="J78" s="7" t="n"/>
      <c r="K78" s="13">
        <f>IF(OR(I78="",J78="",J78=0),"",I78/J78)</f>
        <v/>
      </c>
      <c r="L78" s="6" t="n"/>
      <c r="M78" s="6" t="n"/>
      <c r="N78" s="6" t="n"/>
    </row>
    <row r="79">
      <c r="A79" s="12" t="n"/>
      <c r="B79" s="6" t="n"/>
      <c r="C79" s="6" t="n"/>
      <c r="D79" s="6" t="n"/>
      <c r="E79" s="6" t="n"/>
      <c r="F79" s="6" t="n"/>
      <c r="G79" s="6" t="n"/>
      <c r="H79" s="6" t="n"/>
      <c r="I79" s="7" t="n"/>
      <c r="J79" s="7" t="n"/>
      <c r="K79" s="13">
        <f>IF(OR(I79="",J79="",J79=0),"",I79/J79)</f>
        <v/>
      </c>
      <c r="L79" s="6" t="n"/>
      <c r="M79" s="6" t="n"/>
      <c r="N79" s="6" t="n"/>
    </row>
    <row r="80">
      <c r="A80" s="12" t="n"/>
      <c r="B80" s="6" t="n"/>
      <c r="C80" s="6" t="n"/>
      <c r="D80" s="6" t="n"/>
      <c r="E80" s="6" t="n"/>
      <c r="F80" s="6" t="n"/>
      <c r="G80" s="6" t="n"/>
      <c r="H80" s="6" t="n"/>
      <c r="I80" s="7" t="n"/>
      <c r="J80" s="7" t="n"/>
      <c r="K80" s="13">
        <f>IF(OR(I80="",J80="",J80=0),"",I80/J80)</f>
        <v/>
      </c>
      <c r="L80" s="6" t="n"/>
      <c r="M80" s="6" t="n"/>
      <c r="N80" s="6" t="n"/>
    </row>
    <row r="81">
      <c r="A81" s="12" t="n"/>
      <c r="B81" s="6" t="n"/>
      <c r="C81" s="6" t="n"/>
      <c r="D81" s="6" t="n"/>
      <c r="E81" s="6" t="n"/>
      <c r="F81" s="6" t="n"/>
      <c r="G81" s="6" t="n"/>
      <c r="H81" s="6" t="n"/>
      <c r="I81" s="7" t="n"/>
      <c r="J81" s="7" t="n"/>
      <c r="K81" s="13">
        <f>IF(OR(I81="",J81="",J81=0),"",I81/J81)</f>
        <v/>
      </c>
      <c r="L81" s="6" t="n"/>
      <c r="M81" s="6" t="n"/>
      <c r="N81" s="6" t="n"/>
    </row>
    <row r="82">
      <c r="A82" s="12" t="n"/>
      <c r="B82" s="6" t="n"/>
      <c r="C82" s="6" t="n"/>
      <c r="D82" s="6" t="n"/>
      <c r="E82" s="6" t="n"/>
      <c r="F82" s="6" t="n"/>
      <c r="G82" s="6" t="n"/>
      <c r="H82" s="6" t="n"/>
      <c r="I82" s="7" t="n"/>
      <c r="J82" s="7" t="n"/>
      <c r="K82" s="13">
        <f>IF(OR(I82="",J82="",J82=0),"",I82/J82)</f>
        <v/>
      </c>
      <c r="L82" s="6" t="n"/>
      <c r="M82" s="6" t="n"/>
      <c r="N82" s="6" t="n"/>
    </row>
    <row r="83">
      <c r="A83" s="12" t="n"/>
      <c r="B83" s="6" t="n"/>
      <c r="C83" s="6" t="n"/>
      <c r="D83" s="6" t="n"/>
      <c r="E83" s="6" t="n"/>
      <c r="F83" s="6" t="n"/>
      <c r="G83" s="6" t="n"/>
      <c r="H83" s="6" t="n"/>
      <c r="I83" s="7" t="n"/>
      <c r="J83" s="7" t="n"/>
      <c r="K83" s="13">
        <f>IF(OR(I83="",J83="",J83=0),"",I83/J83)</f>
        <v/>
      </c>
      <c r="L83" s="6" t="n"/>
      <c r="M83" s="6" t="n"/>
      <c r="N83" s="6" t="n"/>
    </row>
    <row r="84">
      <c r="A84" s="12" t="n"/>
      <c r="B84" s="6" t="n"/>
      <c r="C84" s="6" t="n"/>
      <c r="D84" s="6" t="n"/>
      <c r="E84" s="6" t="n"/>
      <c r="F84" s="6" t="n"/>
      <c r="G84" s="6" t="n"/>
      <c r="H84" s="6" t="n"/>
      <c r="I84" s="7" t="n"/>
      <c r="J84" s="7" t="n"/>
      <c r="K84" s="13">
        <f>IF(OR(I84="",J84="",J84=0),"",I84/J84)</f>
        <v/>
      </c>
      <c r="L84" s="6" t="n"/>
      <c r="M84" s="6" t="n"/>
      <c r="N84" s="6" t="n"/>
    </row>
    <row r="85">
      <c r="A85" s="12" t="n"/>
      <c r="B85" s="6" t="n"/>
      <c r="C85" s="6" t="n"/>
      <c r="D85" s="6" t="n"/>
      <c r="E85" s="6" t="n"/>
      <c r="F85" s="6" t="n"/>
      <c r="G85" s="6" t="n"/>
      <c r="H85" s="6" t="n"/>
      <c r="I85" s="7" t="n"/>
      <c r="J85" s="7" t="n"/>
      <c r="K85" s="13">
        <f>IF(OR(I85="",J85="",J85=0),"",I85/J85)</f>
        <v/>
      </c>
      <c r="L85" s="6" t="n"/>
      <c r="M85" s="6" t="n"/>
      <c r="N85" s="6" t="n"/>
    </row>
    <row r="86">
      <c r="A86" s="12" t="n"/>
      <c r="B86" s="6" t="n"/>
      <c r="C86" s="6" t="n"/>
      <c r="D86" s="6" t="n"/>
      <c r="E86" s="6" t="n"/>
      <c r="F86" s="6" t="n"/>
      <c r="G86" s="6" t="n"/>
      <c r="H86" s="6" t="n"/>
      <c r="I86" s="7" t="n"/>
      <c r="J86" s="7" t="n"/>
      <c r="K86" s="13">
        <f>IF(OR(I86="",J86="",J86=0),"",I86/J86)</f>
        <v/>
      </c>
      <c r="L86" s="6" t="n"/>
      <c r="M86" s="6" t="n"/>
      <c r="N86" s="6" t="n"/>
    </row>
    <row r="87">
      <c r="A87" s="12" t="n"/>
      <c r="B87" s="6" t="n"/>
      <c r="C87" s="6" t="n"/>
      <c r="D87" s="6" t="n"/>
      <c r="E87" s="6" t="n"/>
      <c r="F87" s="6" t="n"/>
      <c r="G87" s="6" t="n"/>
      <c r="H87" s="6" t="n"/>
      <c r="I87" s="7" t="n"/>
      <c r="J87" s="7" t="n"/>
      <c r="K87" s="13">
        <f>IF(OR(I87="",J87="",J87=0),"",I87/J87)</f>
        <v/>
      </c>
      <c r="L87" s="6" t="n"/>
      <c r="M87" s="6" t="n"/>
      <c r="N87" s="6" t="n"/>
    </row>
    <row r="88">
      <c r="A88" s="12" t="n"/>
      <c r="B88" s="6" t="n"/>
      <c r="C88" s="6" t="n"/>
      <c r="D88" s="6" t="n"/>
      <c r="E88" s="6" t="n"/>
      <c r="F88" s="6" t="n"/>
      <c r="G88" s="6" t="n"/>
      <c r="H88" s="6" t="n"/>
      <c r="I88" s="7" t="n"/>
      <c r="J88" s="7" t="n"/>
      <c r="K88" s="13">
        <f>IF(OR(I88="",J88="",J88=0),"",I88/J88)</f>
        <v/>
      </c>
      <c r="L88" s="6" t="n"/>
      <c r="M88" s="6" t="n"/>
      <c r="N88" s="6" t="n"/>
    </row>
    <row r="89">
      <c r="A89" s="12" t="n"/>
      <c r="B89" s="6" t="n"/>
      <c r="C89" s="6" t="n"/>
      <c r="D89" s="6" t="n"/>
      <c r="E89" s="6" t="n"/>
      <c r="F89" s="6" t="n"/>
      <c r="G89" s="6" t="n"/>
      <c r="H89" s="6" t="n"/>
      <c r="I89" s="7" t="n"/>
      <c r="J89" s="7" t="n"/>
      <c r="K89" s="13">
        <f>IF(OR(I89="",J89="",J89=0),"",I89/J89)</f>
        <v/>
      </c>
      <c r="L89" s="6" t="n"/>
      <c r="M89" s="6" t="n"/>
      <c r="N89" s="6" t="n"/>
    </row>
    <row r="90">
      <c r="A90" s="12" t="n"/>
      <c r="B90" s="6" t="n"/>
      <c r="C90" s="6" t="n"/>
      <c r="D90" s="6" t="n"/>
      <c r="E90" s="6" t="n"/>
      <c r="F90" s="6" t="n"/>
      <c r="G90" s="6" t="n"/>
      <c r="H90" s="6" t="n"/>
      <c r="I90" s="7" t="n"/>
      <c r="J90" s="7" t="n"/>
      <c r="K90" s="13">
        <f>IF(OR(I90="",J90="",J90=0),"",I90/J90)</f>
        <v/>
      </c>
      <c r="L90" s="6" t="n"/>
      <c r="M90" s="6" t="n"/>
      <c r="N90" s="6" t="n"/>
    </row>
    <row r="91">
      <c r="A91" s="12" t="n"/>
      <c r="B91" s="6" t="n"/>
      <c r="C91" s="6" t="n"/>
      <c r="D91" s="6" t="n"/>
      <c r="E91" s="6" t="n"/>
      <c r="F91" s="6" t="n"/>
      <c r="G91" s="6" t="n"/>
      <c r="H91" s="6" t="n"/>
      <c r="I91" s="7" t="n"/>
      <c r="J91" s="7" t="n"/>
      <c r="K91" s="13">
        <f>IF(OR(I91="",J91="",J91=0),"",I91/J91)</f>
        <v/>
      </c>
      <c r="L91" s="6" t="n"/>
      <c r="M91" s="6" t="n"/>
      <c r="N91" s="6" t="n"/>
    </row>
    <row r="92">
      <c r="A92" s="12" t="n"/>
      <c r="B92" s="6" t="n"/>
      <c r="C92" s="6" t="n"/>
      <c r="D92" s="6" t="n"/>
      <c r="E92" s="6" t="n"/>
      <c r="F92" s="6" t="n"/>
      <c r="G92" s="6" t="n"/>
      <c r="H92" s="6" t="n"/>
      <c r="I92" s="7" t="n"/>
      <c r="J92" s="7" t="n"/>
      <c r="K92" s="13">
        <f>IF(OR(I92="",J92="",J92=0),"",I92/J92)</f>
        <v/>
      </c>
      <c r="L92" s="6" t="n"/>
      <c r="M92" s="6" t="n"/>
      <c r="N92" s="6" t="n"/>
    </row>
    <row r="93">
      <c r="A93" s="12" t="n"/>
      <c r="B93" s="6" t="n"/>
      <c r="C93" s="6" t="n"/>
      <c r="D93" s="6" t="n"/>
      <c r="E93" s="6" t="n"/>
      <c r="F93" s="6" t="n"/>
      <c r="G93" s="6" t="n"/>
      <c r="H93" s="6" t="n"/>
      <c r="I93" s="7" t="n"/>
      <c r="J93" s="7" t="n"/>
      <c r="K93" s="13">
        <f>IF(OR(I93="",J93="",J93=0),"",I93/J93)</f>
        <v/>
      </c>
      <c r="L93" s="6" t="n"/>
      <c r="M93" s="6" t="n"/>
      <c r="N93" s="6" t="n"/>
    </row>
    <row r="94">
      <c r="A94" s="12" t="n"/>
      <c r="B94" s="6" t="n"/>
      <c r="C94" s="6" t="n"/>
      <c r="D94" s="6" t="n"/>
      <c r="E94" s="6" t="n"/>
      <c r="F94" s="6" t="n"/>
      <c r="G94" s="6" t="n"/>
      <c r="H94" s="6" t="n"/>
      <c r="I94" s="7" t="n"/>
      <c r="J94" s="7" t="n"/>
      <c r="K94" s="13">
        <f>IF(OR(I94="",J94="",J94=0),"",I94/J94)</f>
        <v/>
      </c>
      <c r="L94" s="6" t="n"/>
      <c r="M94" s="6" t="n"/>
      <c r="N94" s="6" t="n"/>
    </row>
    <row r="95">
      <c r="A95" s="12" t="n"/>
      <c r="B95" s="6" t="n"/>
      <c r="C95" s="6" t="n"/>
      <c r="D95" s="6" t="n"/>
      <c r="E95" s="6" t="n"/>
      <c r="F95" s="6" t="n"/>
      <c r="G95" s="6" t="n"/>
      <c r="H95" s="6" t="n"/>
      <c r="I95" s="7" t="n"/>
      <c r="J95" s="7" t="n"/>
      <c r="K95" s="13">
        <f>IF(OR(I95="",J95="",J95=0),"",I95/J95)</f>
        <v/>
      </c>
      <c r="L95" s="6" t="n"/>
      <c r="M95" s="6" t="n"/>
      <c r="N95" s="6" t="n"/>
    </row>
    <row r="96">
      <c r="A96" s="12" t="n"/>
      <c r="B96" s="6" t="n"/>
      <c r="C96" s="6" t="n"/>
      <c r="D96" s="6" t="n"/>
      <c r="E96" s="6" t="n"/>
      <c r="F96" s="6" t="n"/>
      <c r="G96" s="6" t="n"/>
      <c r="H96" s="6" t="n"/>
      <c r="I96" s="7" t="n"/>
      <c r="J96" s="7" t="n"/>
      <c r="K96" s="13">
        <f>IF(OR(I96="",J96="",J96=0),"",I96/J96)</f>
        <v/>
      </c>
      <c r="L96" s="6" t="n"/>
      <c r="M96" s="6" t="n"/>
      <c r="N96" s="6" t="n"/>
    </row>
    <row r="97">
      <c r="A97" s="12" t="n"/>
      <c r="B97" s="6" t="n"/>
      <c r="C97" s="6" t="n"/>
      <c r="D97" s="6" t="n"/>
      <c r="E97" s="6" t="n"/>
      <c r="F97" s="6" t="n"/>
      <c r="G97" s="6" t="n"/>
      <c r="H97" s="6" t="n"/>
      <c r="I97" s="7" t="n"/>
      <c r="J97" s="7" t="n"/>
      <c r="K97" s="13">
        <f>IF(OR(I97="",J97="",J97=0),"",I97/J97)</f>
        <v/>
      </c>
      <c r="L97" s="6" t="n"/>
      <c r="M97" s="6" t="n"/>
      <c r="N97" s="6" t="n"/>
    </row>
    <row r="98">
      <c r="A98" s="12" t="n"/>
      <c r="B98" s="6" t="n"/>
      <c r="C98" s="6" t="n"/>
      <c r="D98" s="6" t="n"/>
      <c r="E98" s="6" t="n"/>
      <c r="F98" s="6" t="n"/>
      <c r="G98" s="6" t="n"/>
      <c r="H98" s="6" t="n"/>
      <c r="I98" s="7" t="n"/>
      <c r="J98" s="7" t="n"/>
      <c r="K98" s="13">
        <f>IF(OR(I98="",J98="",J98=0),"",I98/J98)</f>
        <v/>
      </c>
      <c r="L98" s="6" t="n"/>
      <c r="M98" s="6" t="n"/>
      <c r="N98" s="6" t="n"/>
    </row>
    <row r="99">
      <c r="A99" s="12" t="n"/>
      <c r="B99" s="6" t="n"/>
      <c r="C99" s="6" t="n"/>
      <c r="D99" s="6" t="n"/>
      <c r="E99" s="6" t="n"/>
      <c r="F99" s="6" t="n"/>
      <c r="G99" s="6" t="n"/>
      <c r="H99" s="6" t="n"/>
      <c r="I99" s="7" t="n"/>
      <c r="J99" s="7" t="n"/>
      <c r="K99" s="13">
        <f>IF(OR(I99="",J99="",J99=0),"",I99/J99)</f>
        <v/>
      </c>
      <c r="L99" s="6" t="n"/>
      <c r="M99" s="6" t="n"/>
      <c r="N99" s="6" t="n"/>
    </row>
    <row r="100">
      <c r="A100" s="12" t="n"/>
      <c r="B100" s="6" t="n"/>
      <c r="C100" s="6" t="n"/>
      <c r="D100" s="6" t="n"/>
      <c r="E100" s="6" t="n"/>
      <c r="F100" s="6" t="n"/>
      <c r="G100" s="6" t="n"/>
      <c r="H100" s="6" t="n"/>
      <c r="I100" s="7" t="n"/>
      <c r="J100" s="7" t="n"/>
      <c r="K100" s="13">
        <f>IF(OR(I100="",J100="",J100=0),"",I100/J100)</f>
        <v/>
      </c>
      <c r="L100" s="6" t="n"/>
      <c r="M100" s="6" t="n"/>
      <c r="N100" s="6" t="n"/>
    </row>
    <row r="101">
      <c r="A101" s="12" t="n"/>
      <c r="B101" s="6" t="n"/>
      <c r="C101" s="6" t="n"/>
      <c r="D101" s="6" t="n"/>
      <c r="E101" s="6" t="n"/>
      <c r="F101" s="6" t="n"/>
      <c r="G101" s="6" t="n"/>
      <c r="H101" s="6" t="n"/>
      <c r="I101" s="7" t="n"/>
      <c r="J101" s="7" t="n"/>
      <c r="K101" s="13">
        <f>IF(OR(I101="",J101="",J101=0),"",I101/J101)</f>
        <v/>
      </c>
      <c r="L101" s="6" t="n"/>
      <c r="M101" s="6" t="n"/>
      <c r="N101" s="6" t="n"/>
    </row>
    <row r="102">
      <c r="A102" s="12" t="n"/>
      <c r="B102" s="6" t="n"/>
      <c r="C102" s="6" t="n"/>
      <c r="D102" s="6" t="n"/>
      <c r="E102" s="6" t="n"/>
      <c r="F102" s="6" t="n"/>
      <c r="G102" s="6" t="n"/>
      <c r="H102" s="6" t="n"/>
      <c r="I102" s="7" t="n"/>
      <c r="J102" s="7" t="n"/>
      <c r="K102" s="13">
        <f>IF(OR(I102="",J102="",J102=0),"",I102/J102)</f>
        <v/>
      </c>
      <c r="L102" s="6" t="n"/>
      <c r="M102" s="6" t="n"/>
      <c r="N102" s="6" t="n"/>
    </row>
    <row r="103">
      <c r="A103" s="12" t="n"/>
      <c r="B103" s="6" t="n"/>
      <c r="C103" s="6" t="n"/>
      <c r="D103" s="6" t="n"/>
      <c r="E103" s="6" t="n"/>
      <c r="F103" s="6" t="n"/>
      <c r="G103" s="6" t="n"/>
      <c r="H103" s="6" t="n"/>
      <c r="I103" s="7" t="n"/>
      <c r="J103" s="7" t="n"/>
      <c r="K103" s="13">
        <f>IF(OR(I103="",J103="",J103=0),"",I103/J103)</f>
        <v/>
      </c>
      <c r="L103" s="6" t="n"/>
      <c r="M103" s="6" t="n"/>
      <c r="N103" s="6" t="n"/>
    </row>
    <row r="104">
      <c r="A104" s="12" t="n"/>
      <c r="B104" s="6" t="n"/>
      <c r="C104" s="6" t="n"/>
      <c r="D104" s="6" t="n"/>
      <c r="E104" s="6" t="n"/>
      <c r="F104" s="6" t="n"/>
      <c r="G104" s="6" t="n"/>
      <c r="H104" s="6" t="n"/>
      <c r="I104" s="7" t="n"/>
      <c r="J104" s="7" t="n"/>
      <c r="K104" s="13">
        <f>IF(OR(I104="",J104="",J104=0),"",I104/J104)</f>
        <v/>
      </c>
      <c r="L104" s="6" t="n"/>
      <c r="M104" s="6" t="n"/>
      <c r="N104" s="6" t="n"/>
    </row>
    <row r="105">
      <c r="A105" s="12" t="n"/>
      <c r="B105" s="6" t="n"/>
      <c r="C105" s="6" t="n"/>
      <c r="D105" s="6" t="n"/>
      <c r="E105" s="6" t="n"/>
      <c r="F105" s="6" t="n"/>
      <c r="G105" s="6" t="n"/>
      <c r="H105" s="6" t="n"/>
      <c r="I105" s="7" t="n"/>
      <c r="J105" s="7" t="n"/>
      <c r="K105" s="13">
        <f>IF(OR(I105="",J105="",J105=0),"",I105/J105)</f>
        <v/>
      </c>
      <c r="L105" s="6" t="n"/>
      <c r="M105" s="6" t="n"/>
      <c r="N105" s="6" t="n"/>
    </row>
    <row r="106">
      <c r="A106" s="12" t="n"/>
      <c r="B106" s="6" t="n"/>
      <c r="C106" s="6" t="n"/>
      <c r="D106" s="6" t="n"/>
      <c r="E106" s="6" t="n"/>
      <c r="F106" s="6" t="n"/>
      <c r="G106" s="6" t="n"/>
      <c r="H106" s="6" t="n"/>
      <c r="I106" s="7" t="n"/>
      <c r="J106" s="7" t="n"/>
      <c r="K106" s="13">
        <f>IF(OR(I106="",J106="",J106=0),"",I106/J106)</f>
        <v/>
      </c>
      <c r="L106" s="6" t="n"/>
      <c r="M106" s="6" t="n"/>
      <c r="N106" s="6" t="n"/>
    </row>
    <row r="107">
      <c r="A107" s="12" t="n"/>
      <c r="B107" s="6" t="n"/>
      <c r="C107" s="6" t="n"/>
      <c r="D107" s="6" t="n"/>
      <c r="E107" s="6" t="n"/>
      <c r="F107" s="6" t="n"/>
      <c r="G107" s="6" t="n"/>
      <c r="H107" s="6" t="n"/>
      <c r="I107" s="7" t="n"/>
      <c r="J107" s="7" t="n"/>
      <c r="K107" s="13">
        <f>IF(OR(I107="",J107="",J107=0),"",I107/J107)</f>
        <v/>
      </c>
      <c r="L107" s="6" t="n"/>
      <c r="M107" s="6" t="n"/>
      <c r="N107" s="6" t="n"/>
    </row>
    <row r="108">
      <c r="A108" s="12" t="n"/>
      <c r="B108" s="6" t="n"/>
      <c r="C108" s="6" t="n"/>
      <c r="D108" s="6" t="n"/>
      <c r="E108" s="6" t="n"/>
      <c r="F108" s="6" t="n"/>
      <c r="G108" s="6" t="n"/>
      <c r="H108" s="6" t="n"/>
      <c r="I108" s="7" t="n"/>
      <c r="J108" s="7" t="n"/>
      <c r="K108" s="13">
        <f>IF(OR(I108="",J108="",J108=0),"",I108/J108)</f>
        <v/>
      </c>
      <c r="L108" s="6" t="n"/>
      <c r="M108" s="6" t="n"/>
      <c r="N108" s="6" t="n"/>
    </row>
    <row r="109">
      <c r="A109" s="12" t="n"/>
      <c r="B109" s="6" t="n"/>
      <c r="C109" s="6" t="n"/>
      <c r="D109" s="6" t="n"/>
      <c r="E109" s="6" t="n"/>
      <c r="F109" s="6" t="n"/>
      <c r="G109" s="6" t="n"/>
      <c r="H109" s="6" t="n"/>
      <c r="I109" s="7" t="n"/>
      <c r="J109" s="7" t="n"/>
      <c r="K109" s="13">
        <f>IF(OR(I109="",J109="",J109=0),"",I109/J109)</f>
        <v/>
      </c>
      <c r="L109" s="6" t="n"/>
      <c r="M109" s="6" t="n"/>
      <c r="N109" s="6" t="n"/>
    </row>
    <row r="110">
      <c r="A110" s="12" t="n"/>
      <c r="B110" s="6" t="n"/>
      <c r="C110" s="6" t="n"/>
      <c r="D110" s="6" t="n"/>
      <c r="E110" s="6" t="n"/>
      <c r="F110" s="6" t="n"/>
      <c r="G110" s="6" t="n"/>
      <c r="H110" s="6" t="n"/>
      <c r="I110" s="7" t="n"/>
      <c r="J110" s="7" t="n"/>
      <c r="K110" s="13">
        <f>IF(OR(I110="",J110="",J110=0),"",I110/J110)</f>
        <v/>
      </c>
      <c r="L110" s="6" t="n"/>
      <c r="M110" s="6" t="n"/>
      <c r="N110" s="6" t="n"/>
    </row>
    <row r="111">
      <c r="A111" s="12" t="n"/>
      <c r="B111" s="6" t="n"/>
      <c r="C111" s="6" t="n"/>
      <c r="D111" s="6" t="n"/>
      <c r="E111" s="6" t="n"/>
      <c r="F111" s="6" t="n"/>
      <c r="G111" s="6" t="n"/>
      <c r="H111" s="6" t="n"/>
      <c r="I111" s="7" t="n"/>
      <c r="J111" s="7" t="n"/>
      <c r="K111" s="13">
        <f>IF(OR(I111="",J111="",J111=0),"",I111/J111)</f>
        <v/>
      </c>
      <c r="L111" s="6" t="n"/>
      <c r="M111" s="6" t="n"/>
      <c r="N111" s="6" t="n"/>
    </row>
    <row r="112">
      <c r="A112" s="12" t="n"/>
      <c r="B112" s="6" t="n"/>
      <c r="C112" s="6" t="n"/>
      <c r="D112" s="6" t="n"/>
      <c r="E112" s="6" t="n"/>
      <c r="F112" s="6" t="n"/>
      <c r="G112" s="6" t="n"/>
      <c r="H112" s="6" t="n"/>
      <c r="I112" s="7" t="n"/>
      <c r="J112" s="7" t="n"/>
      <c r="K112" s="13">
        <f>IF(OR(I112="",J112="",J112=0),"",I112/J112)</f>
        <v/>
      </c>
      <c r="L112" s="6" t="n"/>
      <c r="M112" s="6" t="n"/>
      <c r="N112" s="6" t="n"/>
    </row>
    <row r="113">
      <c r="A113" s="12" t="n"/>
      <c r="B113" s="6" t="n"/>
      <c r="C113" s="6" t="n"/>
      <c r="D113" s="6" t="n"/>
      <c r="E113" s="6" t="n"/>
      <c r="F113" s="6" t="n"/>
      <c r="G113" s="6" t="n"/>
      <c r="H113" s="6" t="n"/>
      <c r="I113" s="7" t="n"/>
      <c r="J113" s="7" t="n"/>
      <c r="K113" s="13">
        <f>IF(OR(I113="",J113="",J113=0),"",I113/J113)</f>
        <v/>
      </c>
      <c r="L113" s="6" t="n"/>
      <c r="M113" s="6" t="n"/>
      <c r="N113" s="6" t="n"/>
    </row>
    <row r="114">
      <c r="A114" s="12" t="n"/>
      <c r="B114" s="6" t="n"/>
      <c r="C114" s="6" t="n"/>
      <c r="D114" s="6" t="n"/>
      <c r="E114" s="6" t="n"/>
      <c r="F114" s="6" t="n"/>
      <c r="G114" s="6" t="n"/>
      <c r="H114" s="6" t="n"/>
      <c r="I114" s="7" t="n"/>
      <c r="J114" s="7" t="n"/>
      <c r="K114" s="13">
        <f>IF(OR(I114="",J114="",J114=0),"",I114/J114)</f>
        <v/>
      </c>
      <c r="L114" s="6" t="n"/>
      <c r="M114" s="6" t="n"/>
      <c r="N114" s="6" t="n"/>
    </row>
    <row r="115">
      <c r="A115" s="12" t="n"/>
      <c r="B115" s="6" t="n"/>
      <c r="C115" s="6" t="n"/>
      <c r="D115" s="6" t="n"/>
      <c r="E115" s="6" t="n"/>
      <c r="F115" s="6" t="n"/>
      <c r="G115" s="6" t="n"/>
      <c r="H115" s="6" t="n"/>
      <c r="I115" s="7" t="n"/>
      <c r="J115" s="7" t="n"/>
      <c r="K115" s="13">
        <f>IF(OR(I115="",J115="",J115=0),"",I115/J115)</f>
        <v/>
      </c>
      <c r="L115" s="6" t="n"/>
      <c r="M115" s="6" t="n"/>
      <c r="N115" s="6" t="n"/>
    </row>
    <row r="116">
      <c r="A116" s="12" t="n"/>
      <c r="B116" s="6" t="n"/>
      <c r="C116" s="6" t="n"/>
      <c r="D116" s="6" t="n"/>
      <c r="E116" s="6" t="n"/>
      <c r="F116" s="6" t="n"/>
      <c r="G116" s="6" t="n"/>
      <c r="H116" s="6" t="n"/>
      <c r="I116" s="7" t="n"/>
      <c r="J116" s="7" t="n"/>
      <c r="K116" s="13">
        <f>IF(OR(I116="",J116="",J116=0),"",I116/J116)</f>
        <v/>
      </c>
      <c r="L116" s="6" t="n"/>
      <c r="M116" s="6" t="n"/>
      <c r="N116" s="6" t="n"/>
    </row>
    <row r="117">
      <c r="A117" s="12" t="n"/>
      <c r="B117" s="6" t="n"/>
      <c r="C117" s="6" t="n"/>
      <c r="D117" s="6" t="n"/>
      <c r="E117" s="6" t="n"/>
      <c r="F117" s="6" t="n"/>
      <c r="G117" s="6" t="n"/>
      <c r="H117" s="6" t="n"/>
      <c r="I117" s="7" t="n"/>
      <c r="J117" s="7" t="n"/>
      <c r="K117" s="13">
        <f>IF(OR(I117="",J117="",J117=0),"",I117/J117)</f>
        <v/>
      </c>
      <c r="L117" s="6" t="n"/>
      <c r="M117" s="6" t="n"/>
      <c r="N117" s="6" t="n"/>
    </row>
    <row r="118">
      <c r="A118" s="12" t="n"/>
      <c r="B118" s="6" t="n"/>
      <c r="C118" s="6" t="n"/>
      <c r="D118" s="6" t="n"/>
      <c r="E118" s="6" t="n"/>
      <c r="F118" s="6" t="n"/>
      <c r="G118" s="6" t="n"/>
      <c r="H118" s="6" t="n"/>
      <c r="I118" s="7" t="n"/>
      <c r="J118" s="7" t="n"/>
      <c r="K118" s="13">
        <f>IF(OR(I118="",J118="",J118=0),"",I118/J118)</f>
        <v/>
      </c>
      <c r="L118" s="6" t="n"/>
      <c r="M118" s="6" t="n"/>
      <c r="N118" s="6" t="n"/>
    </row>
    <row r="119">
      <c r="A119" s="12" t="n"/>
      <c r="B119" s="6" t="n"/>
      <c r="C119" s="6" t="n"/>
      <c r="D119" s="6" t="n"/>
      <c r="E119" s="6" t="n"/>
      <c r="F119" s="6" t="n"/>
      <c r="G119" s="6" t="n"/>
      <c r="H119" s="6" t="n"/>
      <c r="I119" s="7" t="n"/>
      <c r="J119" s="7" t="n"/>
      <c r="K119" s="13">
        <f>IF(OR(I119="",J119="",J119=0),"",I119/J119)</f>
        <v/>
      </c>
      <c r="L119" s="6" t="n"/>
      <c r="M119" s="6" t="n"/>
      <c r="N119" s="6" t="n"/>
    </row>
    <row r="120">
      <c r="A120" s="12" t="n"/>
      <c r="B120" s="6" t="n"/>
      <c r="C120" s="6" t="n"/>
      <c r="D120" s="6" t="n"/>
      <c r="E120" s="6" t="n"/>
      <c r="F120" s="6" t="n"/>
      <c r="G120" s="6" t="n"/>
      <c r="H120" s="6" t="n"/>
      <c r="I120" s="7" t="n"/>
      <c r="J120" s="7" t="n"/>
      <c r="K120" s="13">
        <f>IF(OR(I120="",J120="",J120=0),"",I120/J120)</f>
        <v/>
      </c>
      <c r="L120" s="6" t="n"/>
      <c r="M120" s="6" t="n"/>
      <c r="N120" s="6" t="n"/>
    </row>
    <row r="121">
      <c r="A121" s="12" t="n"/>
      <c r="B121" s="6" t="n"/>
      <c r="C121" s="6" t="n"/>
      <c r="D121" s="6" t="n"/>
      <c r="E121" s="6" t="n"/>
      <c r="F121" s="6" t="n"/>
      <c r="G121" s="6" t="n"/>
      <c r="H121" s="6" t="n"/>
      <c r="I121" s="7" t="n"/>
      <c r="J121" s="7" t="n"/>
      <c r="K121" s="13">
        <f>IF(OR(I121="",J121="",J121=0),"",I121/J121)</f>
        <v/>
      </c>
      <c r="L121" s="6" t="n"/>
      <c r="M121" s="6" t="n"/>
      <c r="N121" s="6" t="n"/>
    </row>
    <row r="122">
      <c r="A122" s="12" t="n"/>
      <c r="B122" s="6" t="n"/>
      <c r="C122" s="6" t="n"/>
      <c r="D122" s="6" t="n"/>
      <c r="E122" s="6" t="n"/>
      <c r="F122" s="6" t="n"/>
      <c r="G122" s="6" t="n"/>
      <c r="H122" s="6" t="n"/>
      <c r="I122" s="7" t="n"/>
      <c r="J122" s="7" t="n"/>
      <c r="K122" s="13">
        <f>IF(OR(I122="",J122="",J122=0),"",I122/J122)</f>
        <v/>
      </c>
      <c r="L122" s="6" t="n"/>
      <c r="M122" s="6" t="n"/>
      <c r="N122" s="6" t="n"/>
    </row>
    <row r="123">
      <c r="A123" s="12" t="n"/>
      <c r="B123" s="6" t="n"/>
      <c r="C123" s="6" t="n"/>
      <c r="D123" s="6" t="n"/>
      <c r="E123" s="6" t="n"/>
      <c r="F123" s="6" t="n"/>
      <c r="G123" s="6" t="n"/>
      <c r="H123" s="6" t="n"/>
      <c r="I123" s="7" t="n"/>
      <c r="J123" s="7" t="n"/>
      <c r="K123" s="13">
        <f>IF(OR(I123="",J123="",J123=0),"",I123/J123)</f>
        <v/>
      </c>
      <c r="L123" s="6" t="n"/>
      <c r="M123" s="6" t="n"/>
      <c r="N123" s="6" t="n"/>
    </row>
    <row r="124">
      <c r="A124" s="12" t="n"/>
      <c r="B124" s="6" t="n"/>
      <c r="C124" s="6" t="n"/>
      <c r="D124" s="6" t="n"/>
      <c r="E124" s="6" t="n"/>
      <c r="F124" s="6" t="n"/>
      <c r="G124" s="6" t="n"/>
      <c r="H124" s="6" t="n"/>
      <c r="I124" s="7" t="n"/>
      <c r="J124" s="7" t="n"/>
      <c r="K124" s="13">
        <f>IF(OR(I124="",J124="",J124=0),"",I124/J124)</f>
        <v/>
      </c>
      <c r="L124" s="6" t="n"/>
      <c r="M124" s="6" t="n"/>
      <c r="N124" s="6" t="n"/>
    </row>
    <row r="125">
      <c r="A125" s="12" t="n"/>
      <c r="B125" s="6" t="n"/>
      <c r="C125" s="6" t="n"/>
      <c r="D125" s="6" t="n"/>
      <c r="E125" s="6" t="n"/>
      <c r="F125" s="6" t="n"/>
      <c r="G125" s="6" t="n"/>
      <c r="H125" s="6" t="n"/>
      <c r="I125" s="7" t="n"/>
      <c r="J125" s="7" t="n"/>
      <c r="K125" s="13">
        <f>IF(OR(I125="",J125="",J125=0),"",I125/J125)</f>
        <v/>
      </c>
      <c r="L125" s="6" t="n"/>
      <c r="M125" s="6" t="n"/>
      <c r="N125" s="6" t="n"/>
    </row>
    <row r="126">
      <c r="A126" s="12" t="n"/>
      <c r="B126" s="6" t="n"/>
      <c r="C126" s="6" t="n"/>
      <c r="D126" s="6" t="n"/>
      <c r="E126" s="6" t="n"/>
      <c r="F126" s="6" t="n"/>
      <c r="G126" s="6" t="n"/>
      <c r="H126" s="6" t="n"/>
      <c r="I126" s="7" t="n"/>
      <c r="J126" s="7" t="n"/>
      <c r="K126" s="13">
        <f>IF(OR(I126="",J126="",J126=0),"",I126/J126)</f>
        <v/>
      </c>
      <c r="L126" s="6" t="n"/>
      <c r="M126" s="6" t="n"/>
      <c r="N126" s="6" t="n"/>
    </row>
    <row r="127">
      <c r="A127" s="12" t="n"/>
      <c r="B127" s="6" t="n"/>
      <c r="C127" s="6" t="n"/>
      <c r="D127" s="6" t="n"/>
      <c r="E127" s="6" t="n"/>
      <c r="F127" s="6" t="n"/>
      <c r="G127" s="6" t="n"/>
      <c r="H127" s="6" t="n"/>
      <c r="I127" s="7" t="n"/>
      <c r="J127" s="7" t="n"/>
      <c r="K127" s="13">
        <f>IF(OR(I127="",J127="",J127=0),"",I127/J127)</f>
        <v/>
      </c>
      <c r="L127" s="6" t="n"/>
      <c r="M127" s="6" t="n"/>
      <c r="N127" s="6" t="n"/>
    </row>
    <row r="128">
      <c r="A128" s="12" t="n"/>
      <c r="B128" s="6" t="n"/>
      <c r="C128" s="6" t="n"/>
      <c r="D128" s="6" t="n"/>
      <c r="E128" s="6" t="n"/>
      <c r="F128" s="6" t="n"/>
      <c r="G128" s="6" t="n"/>
      <c r="H128" s="6" t="n"/>
      <c r="I128" s="7" t="n"/>
      <c r="J128" s="7" t="n"/>
      <c r="K128" s="13">
        <f>IF(OR(I128="",J128="",J128=0),"",I128/J128)</f>
        <v/>
      </c>
      <c r="L128" s="6" t="n"/>
      <c r="M128" s="6" t="n"/>
      <c r="N128" s="6" t="n"/>
    </row>
    <row r="129">
      <c r="A129" s="12" t="n"/>
      <c r="B129" s="6" t="n"/>
      <c r="C129" s="6" t="n"/>
      <c r="D129" s="6" t="n"/>
      <c r="E129" s="6" t="n"/>
      <c r="F129" s="6" t="n"/>
      <c r="G129" s="6" t="n"/>
      <c r="H129" s="6" t="n"/>
      <c r="I129" s="7" t="n"/>
      <c r="J129" s="7" t="n"/>
      <c r="K129" s="13">
        <f>IF(OR(I129="",J129="",J129=0),"",I129/J129)</f>
        <v/>
      </c>
      <c r="L129" s="6" t="n"/>
      <c r="M129" s="6" t="n"/>
      <c r="N129" s="6" t="n"/>
    </row>
    <row r="130">
      <c r="A130" s="12" t="n"/>
      <c r="B130" s="6" t="n"/>
      <c r="C130" s="6" t="n"/>
      <c r="D130" s="6" t="n"/>
      <c r="E130" s="6" t="n"/>
      <c r="F130" s="6" t="n"/>
      <c r="G130" s="6" t="n"/>
      <c r="H130" s="6" t="n"/>
      <c r="I130" s="7" t="n"/>
      <c r="J130" s="7" t="n"/>
      <c r="K130" s="13">
        <f>IF(OR(I130="",J130="",J130=0),"",I130/J130)</f>
        <v/>
      </c>
      <c r="L130" s="6" t="n"/>
      <c r="M130" s="6" t="n"/>
      <c r="N130" s="6" t="n"/>
    </row>
    <row r="131">
      <c r="A131" s="12" t="n"/>
      <c r="B131" s="6" t="n"/>
      <c r="C131" s="6" t="n"/>
      <c r="D131" s="6" t="n"/>
      <c r="E131" s="6" t="n"/>
      <c r="F131" s="6" t="n"/>
      <c r="G131" s="6" t="n"/>
      <c r="H131" s="6" t="n"/>
      <c r="I131" s="7" t="n"/>
      <c r="J131" s="7" t="n"/>
      <c r="K131" s="13">
        <f>IF(OR(I131="",J131="",J131=0),"",I131/J131)</f>
        <v/>
      </c>
      <c r="L131" s="6" t="n"/>
      <c r="M131" s="6" t="n"/>
      <c r="N131" s="6" t="n"/>
    </row>
    <row r="132">
      <c r="A132" s="12" t="n"/>
      <c r="B132" s="6" t="n"/>
      <c r="C132" s="6" t="n"/>
      <c r="D132" s="6" t="n"/>
      <c r="E132" s="6" t="n"/>
      <c r="F132" s="6" t="n"/>
      <c r="G132" s="6" t="n"/>
      <c r="H132" s="6" t="n"/>
      <c r="I132" s="7" t="n"/>
      <c r="J132" s="7" t="n"/>
      <c r="K132" s="13">
        <f>IF(OR(I132="",J132="",J132=0),"",I132/J132)</f>
        <v/>
      </c>
      <c r="L132" s="6" t="n"/>
      <c r="M132" s="6" t="n"/>
      <c r="N132" s="6" t="n"/>
    </row>
    <row r="133">
      <c r="A133" s="12" t="n"/>
      <c r="B133" s="6" t="n"/>
      <c r="C133" s="6" t="n"/>
      <c r="D133" s="6" t="n"/>
      <c r="E133" s="6" t="n"/>
      <c r="F133" s="6" t="n"/>
      <c r="G133" s="6" t="n"/>
      <c r="H133" s="6" t="n"/>
      <c r="I133" s="7" t="n"/>
      <c r="J133" s="7" t="n"/>
      <c r="K133" s="13">
        <f>IF(OR(I133="",J133="",J133=0),"",I133/J133)</f>
        <v/>
      </c>
      <c r="L133" s="6" t="n"/>
      <c r="M133" s="6" t="n"/>
      <c r="N133" s="6" t="n"/>
    </row>
    <row r="134">
      <c r="A134" s="12" t="n"/>
      <c r="B134" s="6" t="n"/>
      <c r="C134" s="6" t="n"/>
      <c r="D134" s="6" t="n"/>
      <c r="E134" s="6" t="n"/>
      <c r="F134" s="6" t="n"/>
      <c r="G134" s="6" t="n"/>
      <c r="H134" s="6" t="n"/>
      <c r="I134" s="7" t="n"/>
      <c r="J134" s="7" t="n"/>
      <c r="K134" s="13">
        <f>IF(OR(I134="",J134="",J134=0),"",I134/J134)</f>
        <v/>
      </c>
      <c r="L134" s="6" t="n"/>
      <c r="M134" s="6" t="n"/>
      <c r="N134" s="6" t="n"/>
    </row>
    <row r="135">
      <c r="A135" s="12" t="n"/>
      <c r="B135" s="6" t="n"/>
      <c r="C135" s="6" t="n"/>
      <c r="D135" s="6" t="n"/>
      <c r="E135" s="6" t="n"/>
      <c r="F135" s="6" t="n"/>
      <c r="G135" s="6" t="n"/>
      <c r="H135" s="6" t="n"/>
      <c r="I135" s="7" t="n"/>
      <c r="J135" s="7" t="n"/>
      <c r="K135" s="13">
        <f>IF(OR(I135="",J135="",J135=0),"",I135/J135)</f>
        <v/>
      </c>
      <c r="L135" s="6" t="n"/>
      <c r="M135" s="6" t="n"/>
      <c r="N135" s="6" t="n"/>
    </row>
    <row r="136">
      <c r="A136" s="12" t="n"/>
      <c r="B136" s="6" t="n"/>
      <c r="C136" s="6" t="n"/>
      <c r="D136" s="6" t="n"/>
      <c r="E136" s="6" t="n"/>
      <c r="F136" s="6" t="n"/>
      <c r="G136" s="6" t="n"/>
      <c r="H136" s="6" t="n"/>
      <c r="I136" s="7" t="n"/>
      <c r="J136" s="7" t="n"/>
      <c r="K136" s="13">
        <f>IF(OR(I136="",J136="",J136=0),"",I136/J136)</f>
        <v/>
      </c>
      <c r="L136" s="6" t="n"/>
      <c r="M136" s="6" t="n"/>
      <c r="N136" s="6" t="n"/>
    </row>
    <row r="137">
      <c r="A137" s="12" t="n"/>
      <c r="B137" s="6" t="n"/>
      <c r="C137" s="6" t="n"/>
      <c r="D137" s="6" t="n"/>
      <c r="E137" s="6" t="n"/>
      <c r="F137" s="6" t="n"/>
      <c r="G137" s="6" t="n"/>
      <c r="H137" s="6" t="n"/>
      <c r="I137" s="7" t="n"/>
      <c r="J137" s="7" t="n"/>
      <c r="K137" s="13">
        <f>IF(OR(I137="",J137="",J137=0),"",I137/J137)</f>
        <v/>
      </c>
      <c r="L137" s="6" t="n"/>
      <c r="M137" s="6" t="n"/>
      <c r="N137" s="6" t="n"/>
    </row>
    <row r="138">
      <c r="A138" s="12" t="n"/>
      <c r="B138" s="6" t="n"/>
      <c r="C138" s="6" t="n"/>
      <c r="D138" s="6" t="n"/>
      <c r="E138" s="6" t="n"/>
      <c r="F138" s="6" t="n"/>
      <c r="G138" s="6" t="n"/>
      <c r="H138" s="6" t="n"/>
      <c r="I138" s="7" t="n"/>
      <c r="J138" s="7" t="n"/>
      <c r="K138" s="13">
        <f>IF(OR(I138="",J138="",J138=0),"",I138/J138)</f>
        <v/>
      </c>
      <c r="L138" s="6" t="n"/>
      <c r="M138" s="6" t="n"/>
      <c r="N138" s="6" t="n"/>
    </row>
    <row r="139">
      <c r="A139" s="12" t="n"/>
      <c r="B139" s="6" t="n"/>
      <c r="C139" s="6" t="n"/>
      <c r="D139" s="6" t="n"/>
      <c r="E139" s="6" t="n"/>
      <c r="F139" s="6" t="n"/>
      <c r="G139" s="6" t="n"/>
      <c r="H139" s="6" t="n"/>
      <c r="I139" s="7" t="n"/>
      <c r="J139" s="7" t="n"/>
      <c r="K139" s="13">
        <f>IF(OR(I139="",J139="",J139=0),"",I139/J139)</f>
        <v/>
      </c>
      <c r="L139" s="6" t="n"/>
      <c r="M139" s="6" t="n"/>
      <c r="N139" s="6" t="n"/>
    </row>
    <row r="140">
      <c r="A140" s="12" t="n"/>
      <c r="B140" s="6" t="n"/>
      <c r="C140" s="6" t="n"/>
      <c r="D140" s="6" t="n"/>
      <c r="E140" s="6" t="n"/>
      <c r="F140" s="6" t="n"/>
      <c r="G140" s="6" t="n"/>
      <c r="H140" s="6" t="n"/>
      <c r="I140" s="7" t="n"/>
      <c r="J140" s="7" t="n"/>
      <c r="K140" s="13">
        <f>IF(OR(I140="",J140="",J140=0),"",I140/J140)</f>
        <v/>
      </c>
      <c r="L140" s="6" t="n"/>
      <c r="M140" s="6" t="n"/>
      <c r="N140" s="6" t="n"/>
    </row>
    <row r="141">
      <c r="A141" s="12" t="n"/>
      <c r="B141" s="6" t="n"/>
      <c r="C141" s="6" t="n"/>
      <c r="D141" s="6" t="n"/>
      <c r="E141" s="6" t="n"/>
      <c r="F141" s="6" t="n"/>
      <c r="G141" s="6" t="n"/>
      <c r="H141" s="6" t="n"/>
      <c r="I141" s="7" t="n"/>
      <c r="J141" s="7" t="n"/>
      <c r="K141" s="13">
        <f>IF(OR(I141="",J141="",J141=0),"",I141/J141)</f>
        <v/>
      </c>
      <c r="L141" s="6" t="n"/>
      <c r="M141" s="6" t="n"/>
      <c r="N141" s="6" t="n"/>
    </row>
    <row r="142">
      <c r="A142" s="12" t="n"/>
      <c r="B142" s="6" t="n"/>
      <c r="C142" s="6" t="n"/>
      <c r="D142" s="6" t="n"/>
      <c r="E142" s="6" t="n"/>
      <c r="F142" s="6" t="n"/>
      <c r="G142" s="6" t="n"/>
      <c r="H142" s="6" t="n"/>
      <c r="I142" s="7" t="n"/>
      <c r="J142" s="7" t="n"/>
      <c r="K142" s="13">
        <f>IF(OR(I142="",J142="",J142=0),"",I142/J142)</f>
        <v/>
      </c>
      <c r="L142" s="6" t="n"/>
      <c r="M142" s="6" t="n"/>
      <c r="N142" s="6" t="n"/>
    </row>
    <row r="143">
      <c r="A143" s="12" t="n"/>
      <c r="B143" s="6" t="n"/>
      <c r="C143" s="6" t="n"/>
      <c r="D143" s="6" t="n"/>
      <c r="E143" s="6" t="n"/>
      <c r="F143" s="6" t="n"/>
      <c r="G143" s="6" t="n"/>
      <c r="H143" s="6" t="n"/>
      <c r="I143" s="7" t="n"/>
      <c r="J143" s="7" t="n"/>
      <c r="K143" s="13">
        <f>IF(OR(I143="",J143="",J143=0),"",I143/J143)</f>
        <v/>
      </c>
      <c r="L143" s="6" t="n"/>
      <c r="M143" s="6" t="n"/>
      <c r="N143" s="6" t="n"/>
    </row>
    <row r="144">
      <c r="A144" s="12" t="n"/>
      <c r="B144" s="6" t="n"/>
      <c r="C144" s="6" t="n"/>
      <c r="D144" s="6" t="n"/>
      <c r="E144" s="6" t="n"/>
      <c r="F144" s="6" t="n"/>
      <c r="G144" s="6" t="n"/>
      <c r="H144" s="6" t="n"/>
      <c r="I144" s="7" t="n"/>
      <c r="J144" s="7" t="n"/>
      <c r="K144" s="13">
        <f>IF(OR(I144="",J144="",J144=0),"",I144/J144)</f>
        <v/>
      </c>
      <c r="L144" s="6" t="n"/>
      <c r="M144" s="6" t="n"/>
      <c r="N144" s="6" t="n"/>
    </row>
    <row r="145">
      <c r="A145" s="12" t="n"/>
      <c r="B145" s="6" t="n"/>
      <c r="C145" s="6" t="n"/>
      <c r="D145" s="6" t="n"/>
      <c r="E145" s="6" t="n"/>
      <c r="F145" s="6" t="n"/>
      <c r="G145" s="6" t="n"/>
      <c r="H145" s="6" t="n"/>
      <c r="I145" s="7" t="n"/>
      <c r="J145" s="7" t="n"/>
      <c r="K145" s="13">
        <f>IF(OR(I145="",J145="",J145=0),"",I145/J145)</f>
        <v/>
      </c>
      <c r="L145" s="6" t="n"/>
      <c r="M145" s="6" t="n"/>
      <c r="N145" s="6" t="n"/>
    </row>
    <row r="146">
      <c r="A146" s="12" t="n"/>
      <c r="B146" s="6" t="n"/>
      <c r="C146" s="6" t="n"/>
      <c r="D146" s="6" t="n"/>
      <c r="E146" s="6" t="n"/>
      <c r="F146" s="6" t="n"/>
      <c r="G146" s="6" t="n"/>
      <c r="H146" s="6" t="n"/>
      <c r="I146" s="7" t="n"/>
      <c r="J146" s="7" t="n"/>
      <c r="K146" s="13">
        <f>IF(OR(I146="",J146="",J146=0),"",I146/J146)</f>
        <v/>
      </c>
      <c r="L146" s="6" t="n"/>
      <c r="M146" s="6" t="n"/>
      <c r="N146" s="6" t="n"/>
    </row>
    <row r="147">
      <c r="A147" s="12" t="n"/>
      <c r="B147" s="6" t="n"/>
      <c r="C147" s="6" t="n"/>
      <c r="D147" s="6" t="n"/>
      <c r="E147" s="6" t="n"/>
      <c r="F147" s="6" t="n"/>
      <c r="G147" s="6" t="n"/>
      <c r="H147" s="6" t="n"/>
      <c r="I147" s="7" t="n"/>
      <c r="J147" s="7" t="n"/>
      <c r="K147" s="13">
        <f>IF(OR(I147="",J147="",J147=0),"",I147/J147)</f>
        <v/>
      </c>
      <c r="L147" s="6" t="n"/>
      <c r="M147" s="6" t="n"/>
      <c r="N147" s="6" t="n"/>
    </row>
    <row r="148">
      <c r="A148" s="12" t="n"/>
      <c r="B148" s="6" t="n"/>
      <c r="C148" s="6" t="n"/>
      <c r="D148" s="6" t="n"/>
      <c r="E148" s="6" t="n"/>
      <c r="F148" s="6" t="n"/>
      <c r="G148" s="6" t="n"/>
      <c r="H148" s="6" t="n"/>
      <c r="I148" s="7" t="n"/>
      <c r="J148" s="7" t="n"/>
      <c r="K148" s="13">
        <f>IF(OR(I148="",J148="",J148=0),"",I148/J148)</f>
        <v/>
      </c>
      <c r="L148" s="6" t="n"/>
      <c r="M148" s="6" t="n"/>
      <c r="N148" s="6" t="n"/>
    </row>
    <row r="149">
      <c r="A149" s="12" t="n"/>
      <c r="B149" s="6" t="n"/>
      <c r="C149" s="6" t="n"/>
      <c r="D149" s="6" t="n"/>
      <c r="E149" s="6" t="n"/>
      <c r="F149" s="6" t="n"/>
      <c r="G149" s="6" t="n"/>
      <c r="H149" s="6" t="n"/>
      <c r="I149" s="7" t="n"/>
      <c r="J149" s="7" t="n"/>
      <c r="K149" s="13">
        <f>IF(OR(I149="",J149="",J149=0),"",I149/J149)</f>
        <v/>
      </c>
      <c r="L149" s="6" t="n"/>
      <c r="M149" s="6" t="n"/>
      <c r="N149" s="6" t="n"/>
    </row>
    <row r="150">
      <c r="A150" s="12" t="n"/>
      <c r="B150" s="6" t="n"/>
      <c r="C150" s="6" t="n"/>
      <c r="D150" s="6" t="n"/>
      <c r="E150" s="6" t="n"/>
      <c r="F150" s="6" t="n"/>
      <c r="G150" s="6" t="n"/>
      <c r="H150" s="6" t="n"/>
      <c r="I150" s="7" t="n"/>
      <c r="J150" s="7" t="n"/>
      <c r="K150" s="13">
        <f>IF(OR(I150="",J150="",J150=0),"",I150/J150)</f>
        <v/>
      </c>
      <c r="L150" s="6" t="n"/>
      <c r="M150" s="6" t="n"/>
      <c r="N150" s="6" t="n"/>
    </row>
    <row r="151">
      <c r="A151" s="12" t="n"/>
      <c r="B151" s="6" t="n"/>
      <c r="C151" s="6" t="n"/>
      <c r="D151" s="6" t="n"/>
      <c r="E151" s="6" t="n"/>
      <c r="F151" s="6" t="n"/>
      <c r="G151" s="6" t="n"/>
      <c r="H151" s="6" t="n"/>
      <c r="I151" s="7" t="n"/>
      <c r="J151" s="7" t="n"/>
      <c r="K151" s="13">
        <f>IF(OR(I151="",J151="",J151=0),"",I151/J151)</f>
        <v/>
      </c>
      <c r="L151" s="6" t="n"/>
      <c r="M151" s="6" t="n"/>
      <c r="N151" s="6" t="n"/>
    </row>
    <row r="152">
      <c r="A152" s="12" t="n"/>
      <c r="B152" s="6" t="n"/>
      <c r="C152" s="6" t="n"/>
      <c r="D152" s="6" t="n"/>
      <c r="E152" s="6" t="n"/>
      <c r="F152" s="6" t="n"/>
      <c r="G152" s="6" t="n"/>
      <c r="H152" s="6" t="n"/>
      <c r="I152" s="7" t="n"/>
      <c r="J152" s="7" t="n"/>
      <c r="K152" s="13">
        <f>IF(OR(I152="",J152="",J152=0),"",I152/J152)</f>
        <v/>
      </c>
      <c r="L152" s="6" t="n"/>
      <c r="M152" s="6" t="n"/>
      <c r="N152" s="6" t="n"/>
    </row>
    <row r="153">
      <c r="A153" s="12" t="n"/>
      <c r="B153" s="6" t="n"/>
      <c r="C153" s="6" t="n"/>
      <c r="D153" s="6" t="n"/>
      <c r="E153" s="6" t="n"/>
      <c r="F153" s="6" t="n"/>
      <c r="G153" s="6" t="n"/>
      <c r="H153" s="6" t="n"/>
      <c r="I153" s="7" t="n"/>
      <c r="J153" s="7" t="n"/>
      <c r="K153" s="13">
        <f>IF(OR(I153="",J153="",J153=0),"",I153/J153)</f>
        <v/>
      </c>
      <c r="L153" s="6" t="n"/>
      <c r="M153" s="6" t="n"/>
      <c r="N153" s="6" t="n"/>
    </row>
    <row r="154">
      <c r="A154" s="12" t="n"/>
      <c r="B154" s="6" t="n"/>
      <c r="C154" s="6" t="n"/>
      <c r="D154" s="6" t="n"/>
      <c r="E154" s="6" t="n"/>
      <c r="F154" s="6" t="n"/>
      <c r="G154" s="6" t="n"/>
      <c r="H154" s="6" t="n"/>
      <c r="I154" s="7" t="n"/>
      <c r="J154" s="7" t="n"/>
      <c r="K154" s="13">
        <f>IF(OR(I154="",J154="",J154=0),"",I154/J154)</f>
        <v/>
      </c>
      <c r="L154" s="6" t="n"/>
      <c r="M154" s="6" t="n"/>
      <c r="N154" s="6" t="n"/>
    </row>
    <row r="155">
      <c r="A155" s="12" t="n"/>
      <c r="B155" s="6" t="n"/>
      <c r="C155" s="6" t="n"/>
      <c r="D155" s="6" t="n"/>
      <c r="E155" s="6" t="n"/>
      <c r="F155" s="6" t="n"/>
      <c r="G155" s="6" t="n"/>
      <c r="H155" s="6" t="n"/>
      <c r="I155" s="7" t="n"/>
      <c r="J155" s="7" t="n"/>
      <c r="K155" s="13">
        <f>IF(OR(I155="",J155="",J155=0),"",I155/J155)</f>
        <v/>
      </c>
      <c r="L155" s="6" t="n"/>
      <c r="M155" s="6" t="n"/>
      <c r="N155" s="6" t="n"/>
    </row>
    <row r="156">
      <c r="A156" s="12" t="n"/>
      <c r="B156" s="6" t="n"/>
      <c r="C156" s="6" t="n"/>
      <c r="D156" s="6" t="n"/>
      <c r="E156" s="6" t="n"/>
      <c r="F156" s="6" t="n"/>
      <c r="G156" s="6" t="n"/>
      <c r="H156" s="6" t="n"/>
      <c r="I156" s="7" t="n"/>
      <c r="J156" s="7" t="n"/>
      <c r="K156" s="13">
        <f>IF(OR(I156="",J156="",J156=0),"",I156/J156)</f>
        <v/>
      </c>
      <c r="L156" s="6" t="n"/>
      <c r="M156" s="6" t="n"/>
      <c r="N156" s="6" t="n"/>
    </row>
    <row r="157">
      <c r="A157" s="12" t="n"/>
      <c r="B157" s="6" t="n"/>
      <c r="C157" s="6" t="n"/>
      <c r="D157" s="6" t="n"/>
      <c r="E157" s="6" t="n"/>
      <c r="F157" s="6" t="n"/>
      <c r="G157" s="6" t="n"/>
      <c r="H157" s="6" t="n"/>
      <c r="I157" s="7" t="n"/>
      <c r="J157" s="7" t="n"/>
      <c r="K157" s="13">
        <f>IF(OR(I157="",J157="",J157=0),"",I157/J157)</f>
        <v/>
      </c>
      <c r="L157" s="6" t="n"/>
      <c r="M157" s="6" t="n"/>
      <c r="N157" s="6" t="n"/>
    </row>
    <row r="158">
      <c r="A158" s="12" t="n"/>
      <c r="B158" s="6" t="n"/>
      <c r="C158" s="6" t="n"/>
      <c r="D158" s="6" t="n"/>
      <c r="E158" s="6" t="n"/>
      <c r="F158" s="6" t="n"/>
      <c r="G158" s="6" t="n"/>
      <c r="H158" s="6" t="n"/>
      <c r="I158" s="7" t="n"/>
      <c r="J158" s="7" t="n"/>
      <c r="K158" s="13">
        <f>IF(OR(I158="",J158="",J158=0),"",I158/J158)</f>
        <v/>
      </c>
      <c r="L158" s="6" t="n"/>
      <c r="M158" s="6" t="n"/>
      <c r="N158" s="6" t="n"/>
    </row>
    <row r="159">
      <c r="A159" s="12" t="n"/>
      <c r="B159" s="6" t="n"/>
      <c r="C159" s="6" t="n"/>
      <c r="D159" s="6" t="n"/>
      <c r="E159" s="6" t="n"/>
      <c r="F159" s="6" t="n"/>
      <c r="G159" s="6" t="n"/>
      <c r="H159" s="6" t="n"/>
      <c r="I159" s="7" t="n"/>
      <c r="J159" s="7" t="n"/>
      <c r="K159" s="13">
        <f>IF(OR(I159="",J159="",J159=0),"",I159/J159)</f>
        <v/>
      </c>
      <c r="L159" s="6" t="n"/>
      <c r="M159" s="6" t="n"/>
      <c r="N159" s="6" t="n"/>
    </row>
    <row r="160">
      <c r="A160" s="12" t="n"/>
      <c r="B160" s="6" t="n"/>
      <c r="C160" s="6" t="n"/>
      <c r="D160" s="6" t="n"/>
      <c r="E160" s="6" t="n"/>
      <c r="F160" s="6" t="n"/>
      <c r="G160" s="6" t="n"/>
      <c r="H160" s="6" t="n"/>
      <c r="I160" s="7" t="n"/>
      <c r="J160" s="7" t="n"/>
      <c r="K160" s="13">
        <f>IF(OR(I160="",J160="",J160=0),"",I160/J160)</f>
        <v/>
      </c>
      <c r="L160" s="6" t="n"/>
      <c r="M160" s="6" t="n"/>
      <c r="N160" s="6" t="n"/>
    </row>
    <row r="161">
      <c r="A161" s="12" t="n"/>
      <c r="B161" s="6" t="n"/>
      <c r="C161" s="6" t="n"/>
      <c r="D161" s="6" t="n"/>
      <c r="E161" s="6" t="n"/>
      <c r="F161" s="6" t="n"/>
      <c r="G161" s="6" t="n"/>
      <c r="H161" s="6" t="n"/>
      <c r="I161" s="7" t="n"/>
      <c r="J161" s="7" t="n"/>
      <c r="K161" s="13">
        <f>IF(OR(I161="",J161="",J161=0),"",I161/J161)</f>
        <v/>
      </c>
      <c r="L161" s="6" t="n"/>
      <c r="M161" s="6" t="n"/>
      <c r="N161" s="6" t="n"/>
    </row>
    <row r="162">
      <c r="A162" s="12" t="n"/>
      <c r="B162" s="6" t="n"/>
      <c r="C162" s="6" t="n"/>
      <c r="D162" s="6" t="n"/>
      <c r="E162" s="6" t="n"/>
      <c r="F162" s="6" t="n"/>
      <c r="G162" s="6" t="n"/>
      <c r="H162" s="6" t="n"/>
      <c r="I162" s="7" t="n"/>
      <c r="J162" s="7" t="n"/>
      <c r="K162" s="13">
        <f>IF(OR(I162="",J162="",J162=0),"",I162/J162)</f>
        <v/>
      </c>
      <c r="L162" s="6" t="n"/>
      <c r="M162" s="6" t="n"/>
      <c r="N162" s="6" t="n"/>
    </row>
    <row r="163">
      <c r="A163" s="12" t="n"/>
      <c r="B163" s="6" t="n"/>
      <c r="C163" s="6" t="n"/>
      <c r="D163" s="6" t="n"/>
      <c r="E163" s="6" t="n"/>
      <c r="F163" s="6" t="n"/>
      <c r="G163" s="6" t="n"/>
      <c r="H163" s="6" t="n"/>
      <c r="I163" s="7" t="n"/>
      <c r="J163" s="7" t="n"/>
      <c r="K163" s="13">
        <f>IF(OR(I163="",J163="",J163=0),"",I163/J163)</f>
        <v/>
      </c>
      <c r="L163" s="6" t="n"/>
      <c r="M163" s="6" t="n"/>
      <c r="N163" s="6" t="n"/>
    </row>
    <row r="164">
      <c r="A164" s="12" t="n"/>
      <c r="B164" s="6" t="n"/>
      <c r="C164" s="6" t="n"/>
      <c r="D164" s="6" t="n"/>
      <c r="E164" s="6" t="n"/>
      <c r="F164" s="6" t="n"/>
      <c r="G164" s="6" t="n"/>
      <c r="H164" s="6" t="n"/>
      <c r="I164" s="7" t="n"/>
      <c r="J164" s="7" t="n"/>
      <c r="K164" s="13">
        <f>IF(OR(I164="",J164="",J164=0),"",I164/J164)</f>
        <v/>
      </c>
      <c r="L164" s="6" t="n"/>
      <c r="M164" s="6" t="n"/>
      <c r="N164" s="6" t="n"/>
    </row>
    <row r="165">
      <c r="A165" s="12" t="n"/>
      <c r="B165" s="6" t="n"/>
      <c r="C165" s="6" t="n"/>
      <c r="D165" s="6" t="n"/>
      <c r="E165" s="6" t="n"/>
      <c r="F165" s="6" t="n"/>
      <c r="G165" s="6" t="n"/>
      <c r="H165" s="6" t="n"/>
      <c r="I165" s="7" t="n"/>
      <c r="J165" s="7" t="n"/>
      <c r="K165" s="13">
        <f>IF(OR(I165="",J165="",J165=0),"",I165/J165)</f>
        <v/>
      </c>
      <c r="L165" s="6" t="n"/>
      <c r="M165" s="6" t="n"/>
      <c r="N165" s="6" t="n"/>
    </row>
    <row r="166">
      <c r="A166" s="12" t="n"/>
      <c r="B166" s="6" t="n"/>
      <c r="C166" s="6" t="n"/>
      <c r="D166" s="6" t="n"/>
      <c r="E166" s="6" t="n"/>
      <c r="F166" s="6" t="n"/>
      <c r="G166" s="6" t="n"/>
      <c r="H166" s="6" t="n"/>
      <c r="I166" s="7" t="n"/>
      <c r="J166" s="7" t="n"/>
      <c r="K166" s="13">
        <f>IF(OR(I166="",J166="",J166=0),"",I166/J166)</f>
        <v/>
      </c>
      <c r="L166" s="6" t="n"/>
      <c r="M166" s="6" t="n"/>
      <c r="N166" s="6" t="n"/>
    </row>
    <row r="167">
      <c r="A167" s="12" t="n"/>
      <c r="B167" s="6" t="n"/>
      <c r="C167" s="6" t="n"/>
      <c r="D167" s="6" t="n"/>
      <c r="E167" s="6" t="n"/>
      <c r="F167" s="6" t="n"/>
      <c r="G167" s="6" t="n"/>
      <c r="H167" s="6" t="n"/>
      <c r="I167" s="7" t="n"/>
      <c r="J167" s="7" t="n"/>
      <c r="K167" s="13">
        <f>IF(OR(I167="",J167="",J167=0),"",I167/J167)</f>
        <v/>
      </c>
      <c r="L167" s="6" t="n"/>
      <c r="M167" s="6" t="n"/>
      <c r="N167" s="6" t="n"/>
    </row>
    <row r="168">
      <c r="A168" s="12" t="n"/>
      <c r="B168" s="6" t="n"/>
      <c r="C168" s="6" t="n"/>
      <c r="D168" s="6" t="n"/>
      <c r="E168" s="6" t="n"/>
      <c r="F168" s="6" t="n"/>
      <c r="G168" s="6" t="n"/>
      <c r="H168" s="6" t="n"/>
      <c r="I168" s="7" t="n"/>
      <c r="J168" s="7" t="n"/>
      <c r="K168" s="13">
        <f>IF(OR(I168="",J168="",J168=0),"",I168/J168)</f>
        <v/>
      </c>
      <c r="L168" s="6" t="n"/>
      <c r="M168" s="6" t="n"/>
      <c r="N168" s="6" t="n"/>
    </row>
    <row r="169">
      <c r="A169" s="12" t="n"/>
      <c r="B169" s="6" t="n"/>
      <c r="C169" s="6" t="n"/>
      <c r="D169" s="6" t="n"/>
      <c r="E169" s="6" t="n"/>
      <c r="F169" s="6" t="n"/>
      <c r="G169" s="6" t="n"/>
      <c r="H169" s="6" t="n"/>
      <c r="I169" s="7" t="n"/>
      <c r="J169" s="7" t="n"/>
      <c r="K169" s="13">
        <f>IF(OR(I169="",J169="",J169=0),"",I169/J169)</f>
        <v/>
      </c>
      <c r="L169" s="6" t="n"/>
      <c r="M169" s="6" t="n"/>
      <c r="N169" s="6" t="n"/>
    </row>
    <row r="170">
      <c r="A170" s="12" t="n"/>
      <c r="B170" s="6" t="n"/>
      <c r="C170" s="6" t="n"/>
      <c r="D170" s="6" t="n"/>
      <c r="E170" s="6" t="n"/>
      <c r="F170" s="6" t="n"/>
      <c r="G170" s="6" t="n"/>
      <c r="H170" s="6" t="n"/>
      <c r="I170" s="7" t="n"/>
      <c r="J170" s="7" t="n"/>
      <c r="K170" s="13">
        <f>IF(OR(I170="",J170="",J170=0),"",I170/J170)</f>
        <v/>
      </c>
      <c r="L170" s="6" t="n"/>
      <c r="M170" s="6" t="n"/>
      <c r="N170" s="6" t="n"/>
    </row>
    <row r="171">
      <c r="A171" s="12" t="n"/>
      <c r="B171" s="6" t="n"/>
      <c r="C171" s="6" t="n"/>
      <c r="D171" s="6" t="n"/>
      <c r="E171" s="6" t="n"/>
      <c r="F171" s="6" t="n"/>
      <c r="G171" s="6" t="n"/>
      <c r="H171" s="6" t="n"/>
      <c r="I171" s="7" t="n"/>
      <c r="J171" s="7" t="n"/>
      <c r="K171" s="13">
        <f>IF(OR(I171="",J171="",J171=0),"",I171/J171)</f>
        <v/>
      </c>
      <c r="L171" s="6" t="n"/>
      <c r="M171" s="6" t="n"/>
      <c r="N171" s="6" t="n"/>
    </row>
    <row r="172">
      <c r="A172" s="12" t="n"/>
      <c r="B172" s="6" t="n"/>
      <c r="C172" s="6" t="n"/>
      <c r="D172" s="6" t="n"/>
      <c r="E172" s="6" t="n"/>
      <c r="F172" s="6" t="n"/>
      <c r="G172" s="6" t="n"/>
      <c r="H172" s="6" t="n"/>
      <c r="I172" s="7" t="n"/>
      <c r="J172" s="7" t="n"/>
      <c r="K172" s="13">
        <f>IF(OR(I172="",J172="",J172=0),"",I172/J172)</f>
        <v/>
      </c>
      <c r="L172" s="6" t="n"/>
      <c r="M172" s="6" t="n"/>
      <c r="N172" s="6" t="n"/>
    </row>
    <row r="173">
      <c r="A173" s="12" t="n"/>
      <c r="B173" s="6" t="n"/>
      <c r="C173" s="6" t="n"/>
      <c r="D173" s="6" t="n"/>
      <c r="E173" s="6" t="n"/>
      <c r="F173" s="6" t="n"/>
      <c r="G173" s="6" t="n"/>
      <c r="H173" s="6" t="n"/>
      <c r="I173" s="7" t="n"/>
      <c r="J173" s="7" t="n"/>
      <c r="K173" s="13">
        <f>IF(OR(I173="",J173="",J173=0),"",I173/J173)</f>
        <v/>
      </c>
      <c r="L173" s="6" t="n"/>
      <c r="M173" s="6" t="n"/>
      <c r="N173" s="6" t="n"/>
    </row>
    <row r="174">
      <c r="A174" s="12" t="n"/>
      <c r="B174" s="6" t="n"/>
      <c r="C174" s="6" t="n"/>
      <c r="D174" s="6" t="n"/>
      <c r="E174" s="6" t="n"/>
      <c r="F174" s="6" t="n"/>
      <c r="G174" s="6" t="n"/>
      <c r="H174" s="6" t="n"/>
      <c r="I174" s="7" t="n"/>
      <c r="J174" s="7" t="n"/>
      <c r="K174" s="13">
        <f>IF(OR(I174="",J174="",J174=0),"",I174/J174)</f>
        <v/>
      </c>
      <c r="L174" s="6" t="n"/>
      <c r="M174" s="6" t="n"/>
      <c r="N174" s="6" t="n"/>
    </row>
    <row r="175">
      <c r="A175" s="12" t="n"/>
      <c r="B175" s="6" t="n"/>
      <c r="C175" s="6" t="n"/>
      <c r="D175" s="6" t="n"/>
      <c r="E175" s="6" t="n"/>
      <c r="F175" s="6" t="n"/>
      <c r="G175" s="6" t="n"/>
      <c r="H175" s="6" t="n"/>
      <c r="I175" s="7" t="n"/>
      <c r="J175" s="7" t="n"/>
      <c r="K175" s="13">
        <f>IF(OR(I175="",J175="",J175=0),"",I175/J175)</f>
        <v/>
      </c>
      <c r="L175" s="6" t="n"/>
      <c r="M175" s="6" t="n"/>
      <c r="N175" s="6" t="n"/>
    </row>
    <row r="176">
      <c r="A176" s="12" t="n"/>
      <c r="B176" s="6" t="n"/>
      <c r="C176" s="6" t="n"/>
      <c r="D176" s="6" t="n"/>
      <c r="E176" s="6" t="n"/>
      <c r="F176" s="6" t="n"/>
      <c r="G176" s="6" t="n"/>
      <c r="H176" s="6" t="n"/>
      <c r="I176" s="7" t="n"/>
      <c r="J176" s="7" t="n"/>
      <c r="K176" s="13">
        <f>IF(OR(I176="",J176="",J176=0),"",I176/J176)</f>
        <v/>
      </c>
      <c r="L176" s="6" t="n"/>
      <c r="M176" s="6" t="n"/>
      <c r="N176" s="6" t="n"/>
    </row>
    <row r="177">
      <c r="A177" s="12" t="n"/>
      <c r="B177" s="6" t="n"/>
      <c r="C177" s="6" t="n"/>
      <c r="D177" s="6" t="n"/>
      <c r="E177" s="6" t="n"/>
      <c r="F177" s="6" t="n"/>
      <c r="G177" s="6" t="n"/>
      <c r="H177" s="6" t="n"/>
      <c r="I177" s="7" t="n"/>
      <c r="J177" s="7" t="n"/>
      <c r="K177" s="13">
        <f>IF(OR(I177="",J177="",J177=0),"",I177/J177)</f>
        <v/>
      </c>
      <c r="L177" s="6" t="n"/>
      <c r="M177" s="6" t="n"/>
      <c r="N177" s="6" t="n"/>
    </row>
    <row r="178">
      <c r="A178" s="12" t="n"/>
      <c r="B178" s="6" t="n"/>
      <c r="C178" s="6" t="n"/>
      <c r="D178" s="6" t="n"/>
      <c r="E178" s="6" t="n"/>
      <c r="F178" s="6" t="n"/>
      <c r="G178" s="6" t="n"/>
      <c r="H178" s="6" t="n"/>
      <c r="I178" s="7" t="n"/>
      <c r="J178" s="7" t="n"/>
      <c r="K178" s="13">
        <f>IF(OR(I178="",J178="",J178=0),"",I178/J178)</f>
        <v/>
      </c>
      <c r="L178" s="6" t="n"/>
      <c r="M178" s="6" t="n"/>
      <c r="N178" s="6" t="n"/>
    </row>
    <row r="179">
      <c r="A179" s="12" t="n"/>
      <c r="B179" s="6" t="n"/>
      <c r="C179" s="6" t="n"/>
      <c r="D179" s="6" t="n"/>
      <c r="E179" s="6" t="n"/>
      <c r="F179" s="6" t="n"/>
      <c r="G179" s="6" t="n"/>
      <c r="H179" s="6" t="n"/>
      <c r="I179" s="7" t="n"/>
      <c r="J179" s="7" t="n"/>
      <c r="K179" s="13">
        <f>IF(OR(I179="",J179="",J179=0),"",I179/J179)</f>
        <v/>
      </c>
      <c r="L179" s="6" t="n"/>
      <c r="M179" s="6" t="n"/>
      <c r="N179" s="6" t="n"/>
    </row>
    <row r="180">
      <c r="A180" s="12" t="n"/>
      <c r="B180" s="6" t="n"/>
      <c r="C180" s="6" t="n"/>
      <c r="D180" s="6" t="n"/>
      <c r="E180" s="6" t="n"/>
      <c r="F180" s="6" t="n"/>
      <c r="G180" s="6" t="n"/>
      <c r="H180" s="6" t="n"/>
      <c r="I180" s="7" t="n"/>
      <c r="J180" s="7" t="n"/>
      <c r="K180" s="13">
        <f>IF(OR(I180="",J180="",J180=0),"",I180/J180)</f>
        <v/>
      </c>
      <c r="L180" s="6" t="n"/>
      <c r="M180" s="6" t="n"/>
      <c r="N180" s="6" t="n"/>
    </row>
    <row r="181">
      <c r="A181" s="12" t="n"/>
      <c r="B181" s="6" t="n"/>
      <c r="C181" s="6" t="n"/>
      <c r="D181" s="6" t="n"/>
      <c r="E181" s="6" t="n"/>
      <c r="F181" s="6" t="n"/>
      <c r="G181" s="6" t="n"/>
      <c r="H181" s="6" t="n"/>
      <c r="I181" s="7" t="n"/>
      <c r="J181" s="7" t="n"/>
      <c r="K181" s="13">
        <f>IF(OR(I181="",J181="",J181=0),"",I181/J181)</f>
        <v/>
      </c>
      <c r="L181" s="6" t="n"/>
      <c r="M181" s="6" t="n"/>
      <c r="N181" s="6" t="n"/>
    </row>
    <row r="182">
      <c r="A182" s="12" t="n"/>
      <c r="B182" s="6" t="n"/>
      <c r="C182" s="6" t="n"/>
      <c r="D182" s="6" t="n"/>
      <c r="E182" s="6" t="n"/>
      <c r="F182" s="6" t="n"/>
      <c r="G182" s="6" t="n"/>
      <c r="H182" s="6" t="n"/>
      <c r="I182" s="7" t="n"/>
      <c r="J182" s="7" t="n"/>
      <c r="K182" s="13">
        <f>IF(OR(I182="",J182="",J182=0),"",I182/J182)</f>
        <v/>
      </c>
      <c r="L182" s="6" t="n"/>
      <c r="M182" s="6" t="n"/>
      <c r="N182" s="6" t="n"/>
    </row>
    <row r="183">
      <c r="A183" s="12" t="n"/>
      <c r="B183" s="6" t="n"/>
      <c r="C183" s="6" t="n"/>
      <c r="D183" s="6" t="n"/>
      <c r="E183" s="6" t="n"/>
      <c r="F183" s="6" t="n"/>
      <c r="G183" s="6" t="n"/>
      <c r="H183" s="6" t="n"/>
      <c r="I183" s="7" t="n"/>
      <c r="J183" s="7" t="n"/>
      <c r="K183" s="13">
        <f>IF(OR(I183="",J183="",J183=0),"",I183/J183)</f>
        <v/>
      </c>
      <c r="L183" s="6" t="n"/>
      <c r="M183" s="6" t="n"/>
      <c r="N183" s="6" t="n"/>
    </row>
    <row r="184">
      <c r="A184" s="12" t="n"/>
      <c r="B184" s="6" t="n"/>
      <c r="C184" s="6" t="n"/>
      <c r="D184" s="6" t="n"/>
      <c r="E184" s="6" t="n"/>
      <c r="F184" s="6" t="n"/>
      <c r="G184" s="6" t="n"/>
      <c r="H184" s="6" t="n"/>
      <c r="I184" s="7" t="n"/>
      <c r="J184" s="7" t="n"/>
      <c r="K184" s="13">
        <f>IF(OR(I184="",J184="",J184=0),"",I184/J184)</f>
        <v/>
      </c>
      <c r="L184" s="6" t="n"/>
      <c r="M184" s="6" t="n"/>
      <c r="N184" s="6" t="n"/>
    </row>
    <row r="185">
      <c r="A185" s="12" t="n"/>
      <c r="B185" s="6" t="n"/>
      <c r="C185" s="6" t="n"/>
      <c r="D185" s="6" t="n"/>
      <c r="E185" s="6" t="n"/>
      <c r="F185" s="6" t="n"/>
      <c r="G185" s="6" t="n"/>
      <c r="H185" s="6" t="n"/>
      <c r="I185" s="7" t="n"/>
      <c r="J185" s="7" t="n"/>
      <c r="K185" s="13">
        <f>IF(OR(I185="",J185="",J185=0),"",I185/J185)</f>
        <v/>
      </c>
      <c r="L185" s="6" t="n"/>
      <c r="M185" s="6" t="n"/>
      <c r="N185" s="6" t="n"/>
    </row>
    <row r="186">
      <c r="A186" s="12" t="n"/>
      <c r="B186" s="6" t="n"/>
      <c r="C186" s="6" t="n"/>
      <c r="D186" s="6" t="n"/>
      <c r="E186" s="6" t="n"/>
      <c r="F186" s="6" t="n"/>
      <c r="G186" s="6" t="n"/>
      <c r="H186" s="6" t="n"/>
      <c r="I186" s="7" t="n"/>
      <c r="J186" s="7" t="n"/>
      <c r="K186" s="13">
        <f>IF(OR(I186="",J186="",J186=0),"",I186/J186)</f>
        <v/>
      </c>
      <c r="L186" s="6" t="n"/>
      <c r="M186" s="6" t="n"/>
      <c r="N186" s="6" t="n"/>
    </row>
    <row r="187">
      <c r="A187" s="12" t="n"/>
      <c r="B187" s="6" t="n"/>
      <c r="C187" s="6" t="n"/>
      <c r="D187" s="6" t="n"/>
      <c r="E187" s="6" t="n"/>
      <c r="F187" s="6" t="n"/>
      <c r="G187" s="6" t="n"/>
      <c r="H187" s="6" t="n"/>
      <c r="I187" s="7" t="n"/>
      <c r="J187" s="7" t="n"/>
      <c r="K187" s="13">
        <f>IF(OR(I187="",J187="",J187=0),"",I187/J187)</f>
        <v/>
      </c>
      <c r="L187" s="6" t="n"/>
      <c r="M187" s="6" t="n"/>
      <c r="N187" s="6" t="n"/>
    </row>
    <row r="188">
      <c r="A188" s="12" t="n"/>
      <c r="B188" s="6" t="n"/>
      <c r="C188" s="6" t="n"/>
      <c r="D188" s="6" t="n"/>
      <c r="E188" s="6" t="n"/>
      <c r="F188" s="6" t="n"/>
      <c r="G188" s="6" t="n"/>
      <c r="H188" s="6" t="n"/>
      <c r="I188" s="7" t="n"/>
      <c r="J188" s="7" t="n"/>
      <c r="K188" s="13">
        <f>IF(OR(I188="",J188="",J188=0),"",I188/J188)</f>
        <v/>
      </c>
      <c r="L188" s="6" t="n"/>
      <c r="M188" s="6" t="n"/>
      <c r="N188" s="6" t="n"/>
    </row>
    <row r="189">
      <c r="A189" s="12" t="n"/>
      <c r="B189" s="6" t="n"/>
      <c r="C189" s="6" t="n"/>
      <c r="D189" s="6" t="n"/>
      <c r="E189" s="6" t="n"/>
      <c r="F189" s="6" t="n"/>
      <c r="G189" s="6" t="n"/>
      <c r="H189" s="6" t="n"/>
      <c r="I189" s="7" t="n"/>
      <c r="J189" s="7" t="n"/>
      <c r="K189" s="13">
        <f>IF(OR(I189="",J189="",J189=0),"",I189/J189)</f>
        <v/>
      </c>
      <c r="L189" s="6" t="n"/>
      <c r="M189" s="6" t="n"/>
      <c r="N189" s="6" t="n"/>
    </row>
    <row r="190">
      <c r="A190" s="12" t="n"/>
      <c r="B190" s="6" t="n"/>
      <c r="C190" s="6" t="n"/>
      <c r="D190" s="6" t="n"/>
      <c r="E190" s="6" t="n"/>
      <c r="F190" s="6" t="n"/>
      <c r="G190" s="6" t="n"/>
      <c r="H190" s="6" t="n"/>
      <c r="I190" s="7" t="n"/>
      <c r="J190" s="7" t="n"/>
      <c r="K190" s="13">
        <f>IF(OR(I190="",J190="",J190=0),"",I190/J190)</f>
        <v/>
      </c>
      <c r="L190" s="6" t="n"/>
      <c r="M190" s="6" t="n"/>
      <c r="N190" s="6" t="n"/>
    </row>
    <row r="191">
      <c r="A191" s="12" t="n"/>
      <c r="B191" s="6" t="n"/>
      <c r="C191" s="6" t="n"/>
      <c r="D191" s="6" t="n"/>
      <c r="E191" s="6" t="n"/>
      <c r="F191" s="6" t="n"/>
      <c r="G191" s="6" t="n"/>
      <c r="H191" s="6" t="n"/>
      <c r="I191" s="7" t="n"/>
      <c r="J191" s="7" t="n"/>
      <c r="K191" s="13">
        <f>IF(OR(I191="",J191="",J191=0),"",I191/J191)</f>
        <v/>
      </c>
      <c r="L191" s="6" t="n"/>
      <c r="M191" s="6" t="n"/>
      <c r="N191" s="6" t="n"/>
    </row>
    <row r="192">
      <c r="A192" s="12" t="n"/>
      <c r="B192" s="6" t="n"/>
      <c r="C192" s="6" t="n"/>
      <c r="D192" s="6" t="n"/>
      <c r="E192" s="6" t="n"/>
      <c r="F192" s="6" t="n"/>
      <c r="G192" s="6" t="n"/>
      <c r="H192" s="6" t="n"/>
      <c r="I192" s="7" t="n"/>
      <c r="J192" s="7" t="n"/>
      <c r="K192" s="13">
        <f>IF(OR(I192="",J192="",J192=0),"",I192/J192)</f>
        <v/>
      </c>
      <c r="L192" s="6" t="n"/>
      <c r="M192" s="6" t="n"/>
      <c r="N192" s="6" t="n"/>
    </row>
    <row r="193">
      <c r="A193" s="12" t="n"/>
      <c r="B193" s="6" t="n"/>
      <c r="C193" s="6" t="n"/>
      <c r="D193" s="6" t="n"/>
      <c r="E193" s="6" t="n"/>
      <c r="F193" s="6" t="n"/>
      <c r="G193" s="6" t="n"/>
      <c r="H193" s="6" t="n"/>
      <c r="I193" s="7" t="n"/>
      <c r="J193" s="7" t="n"/>
      <c r="K193" s="13">
        <f>IF(OR(I193="",J193="",J193=0),"",I193/J193)</f>
        <v/>
      </c>
      <c r="L193" s="6" t="n"/>
      <c r="M193" s="6" t="n"/>
      <c r="N193" s="6" t="n"/>
    </row>
    <row r="194">
      <c r="A194" s="12" t="n"/>
      <c r="B194" s="6" t="n"/>
      <c r="C194" s="6" t="n"/>
      <c r="D194" s="6" t="n"/>
      <c r="E194" s="6" t="n"/>
      <c r="F194" s="6" t="n"/>
      <c r="G194" s="6" t="n"/>
      <c r="H194" s="6" t="n"/>
      <c r="I194" s="7" t="n"/>
      <c r="J194" s="7" t="n"/>
      <c r="K194" s="13">
        <f>IF(OR(I194="",J194="",J194=0),"",I194/J194)</f>
        <v/>
      </c>
      <c r="L194" s="6" t="n"/>
      <c r="M194" s="6" t="n"/>
      <c r="N194" s="6" t="n"/>
    </row>
    <row r="195">
      <c r="A195" s="12" t="n"/>
      <c r="B195" s="6" t="n"/>
      <c r="C195" s="6" t="n"/>
      <c r="D195" s="6" t="n"/>
      <c r="E195" s="6" t="n"/>
      <c r="F195" s="6" t="n"/>
      <c r="G195" s="6" t="n"/>
      <c r="H195" s="6" t="n"/>
      <c r="I195" s="7" t="n"/>
      <c r="J195" s="7" t="n"/>
      <c r="K195" s="13">
        <f>IF(OR(I195="",J195="",J195=0),"",I195/J195)</f>
        <v/>
      </c>
      <c r="L195" s="6" t="n"/>
      <c r="M195" s="6" t="n"/>
      <c r="N195" s="6" t="n"/>
    </row>
    <row r="196">
      <c r="A196" s="12" t="n"/>
      <c r="B196" s="6" t="n"/>
      <c r="C196" s="6" t="n"/>
      <c r="D196" s="6" t="n"/>
      <c r="E196" s="6" t="n"/>
      <c r="F196" s="6" t="n"/>
      <c r="G196" s="6" t="n"/>
      <c r="H196" s="6" t="n"/>
      <c r="I196" s="7" t="n"/>
      <c r="J196" s="7" t="n"/>
      <c r="K196" s="13">
        <f>IF(OR(I196="",J196="",J196=0),"",I196/J196)</f>
        <v/>
      </c>
      <c r="L196" s="6" t="n"/>
      <c r="M196" s="6" t="n"/>
      <c r="N196" s="6" t="n"/>
    </row>
    <row r="197">
      <c r="A197" s="12" t="n"/>
      <c r="B197" s="6" t="n"/>
      <c r="C197" s="6" t="n"/>
      <c r="D197" s="6" t="n"/>
      <c r="E197" s="6" t="n"/>
      <c r="F197" s="6" t="n"/>
      <c r="G197" s="6" t="n"/>
      <c r="H197" s="6" t="n"/>
      <c r="I197" s="7" t="n"/>
      <c r="J197" s="7" t="n"/>
      <c r="K197" s="13">
        <f>IF(OR(I197="",J197="",J197=0),"",I197/J197)</f>
        <v/>
      </c>
      <c r="L197" s="6" t="n"/>
      <c r="M197" s="6" t="n"/>
      <c r="N197" s="6" t="n"/>
    </row>
    <row r="198">
      <c r="A198" s="12" t="n"/>
      <c r="B198" s="6" t="n"/>
      <c r="C198" s="6" t="n"/>
      <c r="D198" s="6" t="n"/>
      <c r="E198" s="6" t="n"/>
      <c r="F198" s="6" t="n"/>
      <c r="G198" s="6" t="n"/>
      <c r="H198" s="6" t="n"/>
      <c r="I198" s="7" t="n"/>
      <c r="J198" s="7" t="n"/>
      <c r="K198" s="13">
        <f>IF(OR(I198="",J198="",J198=0),"",I198/J198)</f>
        <v/>
      </c>
      <c r="L198" s="6" t="n"/>
      <c r="M198" s="6" t="n"/>
      <c r="N198" s="6" t="n"/>
    </row>
    <row r="199">
      <c r="A199" s="12" t="n"/>
      <c r="B199" s="6" t="n"/>
      <c r="C199" s="6" t="n"/>
      <c r="D199" s="6" t="n"/>
      <c r="E199" s="6" t="n"/>
      <c r="F199" s="6" t="n"/>
      <c r="G199" s="6" t="n"/>
      <c r="H199" s="6" t="n"/>
      <c r="I199" s="7" t="n"/>
      <c r="J199" s="7" t="n"/>
      <c r="K199" s="13">
        <f>IF(OR(I199="",J199="",J199=0),"",I199/J199)</f>
        <v/>
      </c>
      <c r="L199" s="6" t="n"/>
      <c r="M199" s="6" t="n"/>
      <c r="N199" s="6" t="n"/>
    </row>
    <row r="200">
      <c r="A200" s="12" t="n"/>
      <c r="B200" s="6" t="n"/>
      <c r="C200" s="6" t="n"/>
      <c r="D200" s="6" t="n"/>
      <c r="E200" s="6" t="n"/>
      <c r="F200" s="6" t="n"/>
      <c r="G200" s="6" t="n"/>
      <c r="H200" s="6" t="n"/>
      <c r="I200" s="7" t="n"/>
      <c r="J200" s="7" t="n"/>
      <c r="K200" s="13">
        <f>IF(OR(I200="",J200="",J200=0),"",I200/J200)</f>
        <v/>
      </c>
      <c r="L200" s="6" t="n"/>
      <c r="M200" s="6" t="n"/>
      <c r="N200" s="6" t="n"/>
    </row>
    <row r="201">
      <c r="A201" s="12" t="n"/>
      <c r="B201" s="6" t="n"/>
      <c r="C201" s="6" t="n"/>
      <c r="D201" s="6" t="n"/>
      <c r="E201" s="6" t="n"/>
      <c r="F201" s="6" t="n"/>
      <c r="G201" s="6" t="n"/>
      <c r="H201" s="6" t="n"/>
      <c r="I201" s="7" t="n"/>
      <c r="J201" s="7" t="n"/>
      <c r="K201" s="13">
        <f>IF(OR(I201="",J201="",J201=0),"",I201/J201)</f>
        <v/>
      </c>
      <c r="L201" s="6" t="n"/>
      <c r="M201" s="6" t="n"/>
      <c r="N201" s="6" t="n"/>
    </row>
    <row r="202">
      <c r="A202" s="12" t="n"/>
      <c r="B202" s="6" t="n"/>
      <c r="C202" s="6" t="n"/>
      <c r="D202" s="6" t="n"/>
      <c r="E202" s="6" t="n"/>
      <c r="F202" s="6" t="n"/>
      <c r="G202" s="6" t="n"/>
      <c r="H202" s="6" t="n"/>
      <c r="I202" s="7" t="n"/>
      <c r="J202" s="7" t="n"/>
      <c r="K202" s="13">
        <f>IF(OR(I202="",J202="",J202=0),"",I202/J202)</f>
        <v/>
      </c>
      <c r="L202" s="6" t="n"/>
      <c r="M202" s="6" t="n"/>
      <c r="N202" s="6" t="n"/>
    </row>
    <row r="203">
      <c r="A203" s="12" t="n"/>
      <c r="B203" s="6" t="n"/>
      <c r="C203" s="6" t="n"/>
      <c r="D203" s="6" t="n"/>
      <c r="E203" s="6" t="n"/>
      <c r="F203" s="6" t="n"/>
      <c r="G203" s="6" t="n"/>
      <c r="H203" s="6" t="n"/>
      <c r="I203" s="7" t="n"/>
      <c r="J203" s="7" t="n"/>
      <c r="K203" s="13">
        <f>IF(OR(I203="",J203="",J203=0),"",I203/J203)</f>
        <v/>
      </c>
      <c r="L203" s="6" t="n"/>
      <c r="M203" s="6" t="n"/>
      <c r="N203" s="6" t="n"/>
    </row>
    <row r="204">
      <c r="A204" s="12" t="n"/>
      <c r="B204" s="6" t="n"/>
      <c r="C204" s="6" t="n"/>
      <c r="D204" s="6" t="n"/>
      <c r="E204" s="6" t="n"/>
      <c r="F204" s="6" t="n"/>
      <c r="G204" s="6" t="n"/>
      <c r="H204" s="6" t="n"/>
      <c r="I204" s="7" t="n"/>
      <c r="J204" s="7" t="n"/>
      <c r="K204" s="13">
        <f>IF(OR(I204="",J204="",J204=0),"",I204/J204)</f>
        <v/>
      </c>
      <c r="L204" s="6" t="n"/>
      <c r="M204" s="6" t="n"/>
      <c r="N204" s="6" t="n"/>
    </row>
    <row r="205">
      <c r="A205" s="12" t="n"/>
      <c r="B205" s="6" t="n"/>
      <c r="C205" s="6" t="n"/>
      <c r="D205" s="6" t="n"/>
      <c r="E205" s="6" t="n"/>
      <c r="F205" s="6" t="n"/>
      <c r="G205" s="6" t="n"/>
      <c r="H205" s="6" t="n"/>
      <c r="I205" s="7" t="n"/>
      <c r="J205" s="7" t="n"/>
      <c r="K205" s="13">
        <f>IF(OR(I205="",J205="",J205=0),"",I205/J205)</f>
        <v/>
      </c>
      <c r="L205" s="6" t="n"/>
      <c r="M205" s="6" t="n"/>
      <c r="N205" s="6" t="n"/>
    </row>
    <row r="206">
      <c r="A206" s="12" t="n"/>
      <c r="B206" s="6" t="n"/>
      <c r="C206" s="6" t="n"/>
      <c r="D206" s="6" t="n"/>
      <c r="E206" s="6" t="n"/>
      <c r="F206" s="6" t="n"/>
      <c r="G206" s="6" t="n"/>
      <c r="H206" s="6" t="n"/>
      <c r="I206" s="7" t="n"/>
      <c r="J206" s="7" t="n"/>
      <c r="K206" s="13">
        <f>IF(OR(I206="",J206="",J206=0),"",I206/J206)</f>
        <v/>
      </c>
      <c r="L206" s="6" t="n"/>
      <c r="M206" s="6" t="n"/>
      <c r="N206" s="6" t="n"/>
    </row>
    <row r="207">
      <c r="A207" s="12" t="n"/>
      <c r="B207" s="6" t="n"/>
      <c r="C207" s="6" t="n"/>
      <c r="D207" s="6" t="n"/>
      <c r="E207" s="6" t="n"/>
      <c r="F207" s="6" t="n"/>
      <c r="G207" s="6" t="n"/>
      <c r="H207" s="6" t="n"/>
      <c r="I207" s="7" t="n"/>
      <c r="J207" s="7" t="n"/>
      <c r="K207" s="13">
        <f>IF(OR(I207="",J207="",J207=0),"",I207/J207)</f>
        <v/>
      </c>
      <c r="L207" s="6" t="n"/>
      <c r="M207" s="6" t="n"/>
      <c r="N207" s="6" t="n"/>
    </row>
    <row r="208">
      <c r="A208" s="12" t="n"/>
      <c r="B208" s="6" t="n"/>
      <c r="C208" s="6" t="n"/>
      <c r="D208" s="6" t="n"/>
      <c r="E208" s="6" t="n"/>
      <c r="F208" s="6" t="n"/>
      <c r="G208" s="6" t="n"/>
      <c r="H208" s="6" t="n"/>
      <c r="I208" s="7" t="n"/>
      <c r="J208" s="7" t="n"/>
      <c r="K208" s="13">
        <f>IF(OR(I208="",J208="",J208=0),"",I208/J208)</f>
        <v/>
      </c>
      <c r="L208" s="6" t="n"/>
      <c r="M208" s="6" t="n"/>
      <c r="N208" s="6" t="n"/>
    </row>
    <row r="209">
      <c r="A209" s="12" t="n"/>
      <c r="B209" s="6" t="n"/>
      <c r="C209" s="6" t="n"/>
      <c r="D209" s="6" t="n"/>
      <c r="E209" s="6" t="n"/>
      <c r="F209" s="6" t="n"/>
      <c r="G209" s="6" t="n"/>
      <c r="H209" s="6" t="n"/>
      <c r="I209" s="7" t="n"/>
      <c r="J209" s="7" t="n"/>
      <c r="K209" s="13">
        <f>IF(OR(I209="",J209="",J209=0),"",I209/J209)</f>
        <v/>
      </c>
      <c r="L209" s="6" t="n"/>
      <c r="M209" s="6" t="n"/>
      <c r="N209" s="6" t="n"/>
    </row>
    <row r="210">
      <c r="A210" s="12" t="n"/>
      <c r="B210" s="6" t="n"/>
      <c r="C210" s="6" t="n"/>
      <c r="D210" s="6" t="n"/>
      <c r="E210" s="6" t="n"/>
      <c r="F210" s="6" t="n"/>
      <c r="G210" s="6" t="n"/>
      <c r="H210" s="6" t="n"/>
      <c r="I210" s="7" t="n"/>
      <c r="J210" s="7" t="n"/>
      <c r="K210" s="13">
        <f>IF(OR(I210="",J210="",J210=0),"",I210/J210)</f>
        <v/>
      </c>
      <c r="L210" s="6" t="n"/>
      <c r="M210" s="6" t="n"/>
      <c r="N210" s="6" t="n"/>
    </row>
    <row r="211">
      <c r="A211" s="12" t="n"/>
      <c r="B211" s="6" t="n"/>
      <c r="C211" s="6" t="n"/>
      <c r="D211" s="6" t="n"/>
      <c r="E211" s="6" t="n"/>
      <c r="F211" s="6" t="n"/>
      <c r="G211" s="6" t="n"/>
      <c r="H211" s="6" t="n"/>
      <c r="I211" s="7" t="n"/>
      <c r="J211" s="7" t="n"/>
      <c r="K211" s="13">
        <f>IF(OR(I211="",J211="",J211=0),"",I211/J211)</f>
        <v/>
      </c>
      <c r="L211" s="6" t="n"/>
      <c r="M211" s="6" t="n"/>
      <c r="N211" s="6" t="n"/>
    </row>
    <row r="212">
      <c r="A212" s="12" t="n"/>
      <c r="B212" s="6" t="n"/>
      <c r="C212" s="6" t="n"/>
      <c r="D212" s="6" t="n"/>
      <c r="E212" s="6" t="n"/>
      <c r="F212" s="6" t="n"/>
      <c r="G212" s="6" t="n"/>
      <c r="H212" s="6" t="n"/>
      <c r="I212" s="7" t="n"/>
      <c r="J212" s="7" t="n"/>
      <c r="K212" s="13">
        <f>IF(OR(I212="",J212="",J212=0),"",I212/J212)</f>
        <v/>
      </c>
      <c r="L212" s="6" t="n"/>
      <c r="M212" s="6" t="n"/>
      <c r="N212" s="6" t="n"/>
    </row>
    <row r="213">
      <c r="A213" s="12" t="n"/>
      <c r="B213" s="6" t="n"/>
      <c r="C213" s="6" t="n"/>
      <c r="D213" s="6" t="n"/>
      <c r="E213" s="6" t="n"/>
      <c r="F213" s="6" t="n"/>
      <c r="G213" s="6" t="n"/>
      <c r="H213" s="6" t="n"/>
      <c r="I213" s="7" t="n"/>
      <c r="J213" s="7" t="n"/>
      <c r="K213" s="13">
        <f>IF(OR(I213="",J213="",J213=0),"",I213/J213)</f>
        <v/>
      </c>
      <c r="L213" s="6" t="n"/>
      <c r="M213" s="6" t="n"/>
      <c r="N213" s="6" t="n"/>
    </row>
    <row r="214">
      <c r="A214" s="12" t="n"/>
      <c r="B214" s="6" t="n"/>
      <c r="C214" s="6" t="n"/>
      <c r="D214" s="6" t="n"/>
      <c r="E214" s="6" t="n"/>
      <c r="F214" s="6" t="n"/>
      <c r="G214" s="6" t="n"/>
      <c r="H214" s="6" t="n"/>
      <c r="I214" s="7" t="n"/>
      <c r="J214" s="7" t="n"/>
      <c r="K214" s="13">
        <f>IF(OR(I214="",J214="",J214=0),"",I214/J214)</f>
        <v/>
      </c>
      <c r="L214" s="6" t="n"/>
      <c r="M214" s="6" t="n"/>
      <c r="N214" s="6" t="n"/>
    </row>
    <row r="215">
      <c r="A215" s="12" t="n"/>
      <c r="B215" s="6" t="n"/>
      <c r="C215" s="6" t="n"/>
      <c r="D215" s="6" t="n"/>
      <c r="E215" s="6" t="n"/>
      <c r="F215" s="6" t="n"/>
      <c r="G215" s="6" t="n"/>
      <c r="H215" s="6" t="n"/>
      <c r="I215" s="7" t="n"/>
      <c r="J215" s="7" t="n"/>
      <c r="K215" s="13">
        <f>IF(OR(I215="",J215="",J215=0),"",I215/J215)</f>
        <v/>
      </c>
      <c r="L215" s="6" t="n"/>
      <c r="M215" s="6" t="n"/>
      <c r="N215" s="6" t="n"/>
    </row>
    <row r="216">
      <c r="A216" s="12" t="n"/>
      <c r="B216" s="6" t="n"/>
      <c r="C216" s="6" t="n"/>
      <c r="D216" s="6" t="n"/>
      <c r="E216" s="6" t="n"/>
      <c r="F216" s="6" t="n"/>
      <c r="G216" s="6" t="n"/>
      <c r="H216" s="6" t="n"/>
      <c r="I216" s="7" t="n"/>
      <c r="J216" s="7" t="n"/>
      <c r="K216" s="13">
        <f>IF(OR(I216="",J216="",J216=0),"",I216/J216)</f>
        <v/>
      </c>
      <c r="L216" s="6" t="n"/>
      <c r="M216" s="6" t="n"/>
      <c r="N216" s="6" t="n"/>
    </row>
    <row r="217">
      <c r="A217" s="12" t="n"/>
      <c r="B217" s="6" t="n"/>
      <c r="C217" s="6" t="n"/>
      <c r="D217" s="6" t="n"/>
      <c r="E217" s="6" t="n"/>
      <c r="F217" s="6" t="n"/>
      <c r="G217" s="6" t="n"/>
      <c r="H217" s="6" t="n"/>
      <c r="I217" s="7" t="n"/>
      <c r="J217" s="7" t="n"/>
      <c r="K217" s="13">
        <f>IF(OR(I217="",J217="",J217=0),"",I217/J217)</f>
        <v/>
      </c>
      <c r="L217" s="6" t="n"/>
      <c r="M217" s="6" t="n"/>
      <c r="N217" s="6" t="n"/>
    </row>
    <row r="218">
      <c r="A218" s="12" t="n"/>
      <c r="B218" s="6" t="n"/>
      <c r="C218" s="6" t="n"/>
      <c r="D218" s="6" t="n"/>
      <c r="E218" s="6" t="n"/>
      <c r="F218" s="6" t="n"/>
      <c r="G218" s="6" t="n"/>
      <c r="H218" s="6" t="n"/>
      <c r="I218" s="7" t="n"/>
      <c r="J218" s="7" t="n"/>
      <c r="K218" s="13">
        <f>IF(OR(I218="",J218="",J218=0),"",I218/J218)</f>
        <v/>
      </c>
      <c r="L218" s="6" t="n"/>
      <c r="M218" s="6" t="n"/>
      <c r="N218" s="6" t="n"/>
    </row>
    <row r="219">
      <c r="A219" s="12" t="n"/>
      <c r="B219" s="6" t="n"/>
      <c r="C219" s="6" t="n"/>
      <c r="D219" s="6" t="n"/>
      <c r="E219" s="6" t="n"/>
      <c r="F219" s="6" t="n"/>
      <c r="G219" s="6" t="n"/>
      <c r="H219" s="6" t="n"/>
      <c r="I219" s="7" t="n"/>
      <c r="J219" s="7" t="n"/>
      <c r="K219" s="13">
        <f>IF(OR(I219="",J219="",J219=0),"",I219/J219)</f>
        <v/>
      </c>
      <c r="L219" s="6" t="n"/>
      <c r="M219" s="6" t="n"/>
      <c r="N219" s="6" t="n"/>
    </row>
    <row r="220">
      <c r="A220" s="12" t="n"/>
      <c r="B220" s="6" t="n"/>
      <c r="C220" s="6" t="n"/>
      <c r="D220" s="6" t="n"/>
      <c r="E220" s="6" t="n"/>
      <c r="F220" s="6" t="n"/>
      <c r="G220" s="6" t="n"/>
      <c r="H220" s="6" t="n"/>
      <c r="I220" s="7" t="n"/>
      <c r="J220" s="7" t="n"/>
      <c r="K220" s="13">
        <f>IF(OR(I220="",J220="",J220=0),"",I220/J220)</f>
        <v/>
      </c>
      <c r="L220" s="6" t="n"/>
      <c r="M220" s="6" t="n"/>
      <c r="N220" s="6" t="n"/>
    </row>
    <row r="221">
      <c r="A221" s="12" t="n"/>
      <c r="B221" s="6" t="n"/>
      <c r="C221" s="6" t="n"/>
      <c r="D221" s="6" t="n"/>
      <c r="E221" s="6" t="n"/>
      <c r="F221" s="6" t="n"/>
      <c r="G221" s="6" t="n"/>
      <c r="H221" s="6" t="n"/>
      <c r="I221" s="7" t="n"/>
      <c r="J221" s="7" t="n"/>
      <c r="K221" s="13">
        <f>IF(OR(I221="",J221="",J221=0),"",I221/J221)</f>
        <v/>
      </c>
      <c r="L221" s="6" t="n"/>
      <c r="M221" s="6" t="n"/>
      <c r="N221" s="6" t="n"/>
    </row>
    <row r="222">
      <c r="A222" s="12" t="n"/>
      <c r="B222" s="6" t="n"/>
      <c r="C222" s="6" t="n"/>
      <c r="D222" s="6" t="n"/>
      <c r="E222" s="6" t="n"/>
      <c r="F222" s="6" t="n"/>
      <c r="G222" s="6" t="n"/>
      <c r="H222" s="6" t="n"/>
      <c r="I222" s="7" t="n"/>
      <c r="J222" s="7" t="n"/>
      <c r="K222" s="13">
        <f>IF(OR(I222="",J222="",J222=0),"",I222/J222)</f>
        <v/>
      </c>
      <c r="L222" s="6" t="n"/>
      <c r="M222" s="6" t="n"/>
      <c r="N222" s="6" t="n"/>
    </row>
    <row r="223">
      <c r="A223" s="12" t="n"/>
      <c r="B223" s="6" t="n"/>
      <c r="C223" s="6" t="n"/>
      <c r="D223" s="6" t="n"/>
      <c r="E223" s="6" t="n"/>
      <c r="F223" s="6" t="n"/>
      <c r="G223" s="6" t="n"/>
      <c r="H223" s="6" t="n"/>
      <c r="I223" s="7" t="n"/>
      <c r="J223" s="7" t="n"/>
      <c r="K223" s="13">
        <f>IF(OR(I223="",J223="",J223=0),"",I223/J223)</f>
        <v/>
      </c>
      <c r="L223" s="6" t="n"/>
      <c r="M223" s="6" t="n"/>
      <c r="N223" s="6" t="n"/>
    </row>
    <row r="224">
      <c r="A224" s="12" t="n"/>
      <c r="B224" s="6" t="n"/>
      <c r="C224" s="6" t="n"/>
      <c r="D224" s="6" t="n"/>
      <c r="E224" s="6" t="n"/>
      <c r="F224" s="6" t="n"/>
      <c r="G224" s="6" t="n"/>
      <c r="H224" s="6" t="n"/>
      <c r="I224" s="7" t="n"/>
      <c r="J224" s="7" t="n"/>
      <c r="K224" s="13">
        <f>IF(OR(I224="",J224="",J224=0),"",I224/J224)</f>
        <v/>
      </c>
      <c r="L224" s="6" t="n"/>
      <c r="M224" s="6" t="n"/>
      <c r="N224" s="6" t="n"/>
    </row>
    <row r="225">
      <c r="A225" s="12" t="n"/>
      <c r="B225" s="6" t="n"/>
      <c r="C225" s="6" t="n"/>
      <c r="D225" s="6" t="n"/>
      <c r="E225" s="6" t="n"/>
      <c r="F225" s="6" t="n"/>
      <c r="G225" s="6" t="n"/>
      <c r="H225" s="6" t="n"/>
      <c r="I225" s="7" t="n"/>
      <c r="J225" s="7" t="n"/>
      <c r="K225" s="13">
        <f>IF(OR(I225="",J225="",J225=0),"",I225/J225)</f>
        <v/>
      </c>
      <c r="L225" s="6" t="n"/>
      <c r="M225" s="6" t="n"/>
      <c r="N225" s="6" t="n"/>
    </row>
    <row r="226">
      <c r="A226" s="12" t="n"/>
      <c r="B226" s="6" t="n"/>
      <c r="C226" s="6" t="n"/>
      <c r="D226" s="6" t="n"/>
      <c r="E226" s="6" t="n"/>
      <c r="F226" s="6" t="n"/>
      <c r="G226" s="6" t="n"/>
      <c r="H226" s="6" t="n"/>
      <c r="I226" s="7" t="n"/>
      <c r="J226" s="7" t="n"/>
      <c r="K226" s="13">
        <f>IF(OR(I226="",J226="",J226=0),"",I226/J226)</f>
        <v/>
      </c>
      <c r="L226" s="6" t="n"/>
      <c r="M226" s="6" t="n"/>
      <c r="N226" s="6" t="n"/>
    </row>
    <row r="227">
      <c r="A227" s="12" t="n"/>
      <c r="B227" s="6" t="n"/>
      <c r="C227" s="6" t="n"/>
      <c r="D227" s="6" t="n"/>
      <c r="E227" s="6" t="n"/>
      <c r="F227" s="6" t="n"/>
      <c r="G227" s="6" t="n"/>
      <c r="H227" s="6" t="n"/>
      <c r="I227" s="7" t="n"/>
      <c r="J227" s="7" t="n"/>
      <c r="K227" s="13">
        <f>IF(OR(I227="",J227="",J227=0),"",I227/J227)</f>
        <v/>
      </c>
      <c r="L227" s="6" t="n"/>
      <c r="M227" s="6" t="n"/>
      <c r="N227" s="6" t="n"/>
    </row>
    <row r="228">
      <c r="A228" s="12" t="n"/>
      <c r="B228" s="6" t="n"/>
      <c r="C228" s="6" t="n"/>
      <c r="D228" s="6" t="n"/>
      <c r="E228" s="6" t="n"/>
      <c r="F228" s="6" t="n"/>
      <c r="G228" s="6" t="n"/>
      <c r="H228" s="6" t="n"/>
      <c r="I228" s="7" t="n"/>
      <c r="J228" s="7" t="n"/>
      <c r="K228" s="13">
        <f>IF(OR(I228="",J228="",J228=0),"",I228/J228)</f>
        <v/>
      </c>
      <c r="L228" s="6" t="n"/>
      <c r="M228" s="6" t="n"/>
      <c r="N228" s="6" t="n"/>
    </row>
    <row r="229">
      <c r="A229" s="12" t="n"/>
      <c r="B229" s="6" t="n"/>
      <c r="C229" s="6" t="n"/>
      <c r="D229" s="6" t="n"/>
      <c r="E229" s="6" t="n"/>
      <c r="F229" s="6" t="n"/>
      <c r="G229" s="6" t="n"/>
      <c r="H229" s="6" t="n"/>
      <c r="I229" s="7" t="n"/>
      <c r="J229" s="7" t="n"/>
      <c r="K229" s="13">
        <f>IF(OR(I229="",J229="",J229=0),"",I229/J229)</f>
        <v/>
      </c>
      <c r="L229" s="6" t="n"/>
      <c r="M229" s="6" t="n"/>
      <c r="N229" s="6" t="n"/>
    </row>
    <row r="230">
      <c r="A230" s="12" t="n"/>
      <c r="B230" s="6" t="n"/>
      <c r="C230" s="6" t="n"/>
      <c r="D230" s="6" t="n"/>
      <c r="E230" s="6" t="n"/>
      <c r="F230" s="6" t="n"/>
      <c r="G230" s="6" t="n"/>
      <c r="H230" s="6" t="n"/>
      <c r="I230" s="7" t="n"/>
      <c r="J230" s="7" t="n"/>
      <c r="K230" s="13">
        <f>IF(OR(I230="",J230="",J230=0),"",I230/J230)</f>
        <v/>
      </c>
      <c r="L230" s="6" t="n"/>
      <c r="M230" s="6" t="n"/>
      <c r="N230" s="6" t="n"/>
    </row>
    <row r="231">
      <c r="A231" s="12" t="n"/>
      <c r="B231" s="6" t="n"/>
      <c r="C231" s="6" t="n"/>
      <c r="D231" s="6" t="n"/>
      <c r="E231" s="6" t="n"/>
      <c r="F231" s="6" t="n"/>
      <c r="G231" s="6" t="n"/>
      <c r="H231" s="6" t="n"/>
      <c r="I231" s="7" t="n"/>
      <c r="J231" s="7" t="n"/>
      <c r="K231" s="13">
        <f>IF(OR(I231="",J231="",J231=0),"",I231/J231)</f>
        <v/>
      </c>
      <c r="L231" s="6" t="n"/>
      <c r="M231" s="6" t="n"/>
      <c r="N231" s="6" t="n"/>
    </row>
    <row r="232">
      <c r="A232" s="12" t="n"/>
      <c r="B232" s="6" t="n"/>
      <c r="C232" s="6" t="n"/>
      <c r="D232" s="6" t="n"/>
      <c r="E232" s="6" t="n"/>
      <c r="F232" s="6" t="n"/>
      <c r="G232" s="6" t="n"/>
      <c r="H232" s="6" t="n"/>
      <c r="I232" s="7" t="n"/>
      <c r="J232" s="7" t="n"/>
      <c r="K232" s="13">
        <f>IF(OR(I232="",J232="",J232=0),"",I232/J232)</f>
        <v/>
      </c>
      <c r="L232" s="6" t="n"/>
      <c r="M232" s="6" t="n"/>
      <c r="N232" s="6" t="n"/>
    </row>
    <row r="233">
      <c r="A233" s="12" t="n"/>
      <c r="B233" s="6" t="n"/>
      <c r="C233" s="6" t="n"/>
      <c r="D233" s="6" t="n"/>
      <c r="E233" s="6" t="n"/>
      <c r="F233" s="6" t="n"/>
      <c r="G233" s="6" t="n"/>
      <c r="H233" s="6" t="n"/>
      <c r="I233" s="7" t="n"/>
      <c r="J233" s="7" t="n"/>
      <c r="K233" s="13">
        <f>IF(OR(I233="",J233="",J233=0),"",I233/J233)</f>
        <v/>
      </c>
      <c r="L233" s="6" t="n"/>
      <c r="M233" s="6" t="n"/>
      <c r="N233" s="6" t="n"/>
    </row>
    <row r="234">
      <c r="A234" s="12" t="n"/>
      <c r="B234" s="6" t="n"/>
      <c r="C234" s="6" t="n"/>
      <c r="D234" s="6" t="n"/>
      <c r="E234" s="6" t="n"/>
      <c r="F234" s="6" t="n"/>
      <c r="G234" s="6" t="n"/>
      <c r="H234" s="6" t="n"/>
      <c r="I234" s="7" t="n"/>
      <c r="J234" s="7" t="n"/>
      <c r="K234" s="13">
        <f>IF(OR(I234="",J234="",J234=0),"",I234/J234)</f>
        <v/>
      </c>
      <c r="L234" s="6" t="n"/>
      <c r="M234" s="6" t="n"/>
      <c r="N234" s="6" t="n"/>
    </row>
    <row r="235">
      <c r="A235" s="12" t="n"/>
      <c r="B235" s="6" t="n"/>
      <c r="C235" s="6" t="n"/>
      <c r="D235" s="6" t="n"/>
      <c r="E235" s="6" t="n"/>
      <c r="F235" s="6" t="n"/>
      <c r="G235" s="6" t="n"/>
      <c r="H235" s="6" t="n"/>
      <c r="I235" s="7" t="n"/>
      <c r="J235" s="7" t="n"/>
      <c r="K235" s="13">
        <f>IF(OR(I235="",J235="",J235=0),"",I235/J235)</f>
        <v/>
      </c>
      <c r="L235" s="6" t="n"/>
      <c r="M235" s="6" t="n"/>
      <c r="N235" s="6" t="n"/>
    </row>
    <row r="236">
      <c r="A236" s="12" t="n"/>
      <c r="B236" s="6" t="n"/>
      <c r="C236" s="6" t="n"/>
      <c r="D236" s="6" t="n"/>
      <c r="E236" s="6" t="n"/>
      <c r="F236" s="6" t="n"/>
      <c r="G236" s="6" t="n"/>
      <c r="H236" s="6" t="n"/>
      <c r="I236" s="7" t="n"/>
      <c r="J236" s="7" t="n"/>
      <c r="K236" s="13">
        <f>IF(OR(I236="",J236="",J236=0),"",I236/J236)</f>
        <v/>
      </c>
      <c r="L236" s="6" t="n"/>
      <c r="M236" s="6" t="n"/>
      <c r="N236" s="6" t="n"/>
    </row>
    <row r="237">
      <c r="A237" s="12" t="n"/>
      <c r="B237" s="6" t="n"/>
      <c r="C237" s="6" t="n"/>
      <c r="D237" s="6" t="n"/>
      <c r="E237" s="6" t="n"/>
      <c r="F237" s="6" t="n"/>
      <c r="G237" s="6" t="n"/>
      <c r="H237" s="6" t="n"/>
      <c r="I237" s="7" t="n"/>
      <c r="J237" s="7" t="n"/>
      <c r="K237" s="13">
        <f>IF(OR(I237="",J237="",J237=0),"",I237/J237)</f>
        <v/>
      </c>
      <c r="L237" s="6" t="n"/>
      <c r="M237" s="6" t="n"/>
      <c r="N237" s="6" t="n"/>
    </row>
    <row r="238">
      <c r="A238" s="12" t="n"/>
      <c r="B238" s="6" t="n"/>
      <c r="C238" s="6" t="n"/>
      <c r="D238" s="6" t="n"/>
      <c r="E238" s="6" t="n"/>
      <c r="F238" s="6" t="n"/>
      <c r="G238" s="6" t="n"/>
      <c r="H238" s="6" t="n"/>
      <c r="I238" s="7" t="n"/>
      <c r="J238" s="7" t="n"/>
      <c r="K238" s="13">
        <f>IF(OR(I238="",J238="",J238=0),"",I238/J238)</f>
        <v/>
      </c>
      <c r="L238" s="6" t="n"/>
      <c r="M238" s="6" t="n"/>
      <c r="N238" s="6" t="n"/>
    </row>
    <row r="239">
      <c r="A239" s="12" t="n"/>
      <c r="B239" s="6" t="n"/>
      <c r="C239" s="6" t="n"/>
      <c r="D239" s="6" t="n"/>
      <c r="E239" s="6" t="n"/>
      <c r="F239" s="6" t="n"/>
      <c r="G239" s="6" t="n"/>
      <c r="H239" s="6" t="n"/>
      <c r="I239" s="7" t="n"/>
      <c r="J239" s="7" t="n"/>
      <c r="K239" s="13">
        <f>IF(OR(I239="",J239="",J239=0),"",I239/J239)</f>
        <v/>
      </c>
      <c r="L239" s="6" t="n"/>
      <c r="M239" s="6" t="n"/>
      <c r="N239" s="6" t="n"/>
    </row>
    <row r="240">
      <c r="A240" s="12" t="n"/>
      <c r="B240" s="6" t="n"/>
      <c r="C240" s="6" t="n"/>
      <c r="D240" s="6" t="n"/>
      <c r="E240" s="6" t="n"/>
      <c r="F240" s="6" t="n"/>
      <c r="G240" s="6" t="n"/>
      <c r="H240" s="6" t="n"/>
      <c r="I240" s="7" t="n"/>
      <c r="J240" s="7" t="n"/>
      <c r="K240" s="13">
        <f>IF(OR(I240="",J240="",J240=0),"",I240/J240)</f>
        <v/>
      </c>
      <c r="L240" s="6" t="n"/>
      <c r="M240" s="6" t="n"/>
      <c r="N240" s="6" t="n"/>
    </row>
    <row r="241">
      <c r="A241" s="12" t="n"/>
      <c r="B241" s="6" t="n"/>
      <c r="C241" s="6" t="n"/>
      <c r="D241" s="6" t="n"/>
      <c r="E241" s="6" t="n"/>
      <c r="F241" s="6" t="n"/>
      <c r="G241" s="6" t="n"/>
      <c r="H241" s="6" t="n"/>
      <c r="I241" s="7" t="n"/>
      <c r="J241" s="7" t="n"/>
      <c r="K241" s="13">
        <f>IF(OR(I241="",J241="",J241=0),"",I241/J241)</f>
        <v/>
      </c>
      <c r="L241" s="6" t="n"/>
      <c r="M241" s="6" t="n"/>
      <c r="N241" s="6" t="n"/>
    </row>
    <row r="242">
      <c r="A242" s="12" t="n"/>
      <c r="B242" s="6" t="n"/>
      <c r="C242" s="6" t="n"/>
      <c r="D242" s="6" t="n"/>
      <c r="E242" s="6" t="n"/>
      <c r="F242" s="6" t="n"/>
      <c r="G242" s="6" t="n"/>
      <c r="H242" s="6" t="n"/>
      <c r="I242" s="7" t="n"/>
      <c r="J242" s="7" t="n"/>
      <c r="K242" s="13">
        <f>IF(OR(I242="",J242="",J242=0),"",I242/J242)</f>
        <v/>
      </c>
      <c r="L242" s="6" t="n"/>
      <c r="M242" s="6" t="n"/>
      <c r="N242" s="6" t="n"/>
    </row>
    <row r="243">
      <c r="A243" s="12" t="n"/>
      <c r="B243" s="6" t="n"/>
      <c r="C243" s="6" t="n"/>
      <c r="D243" s="6" t="n"/>
      <c r="E243" s="6" t="n"/>
      <c r="F243" s="6" t="n"/>
      <c r="G243" s="6" t="n"/>
      <c r="H243" s="6" t="n"/>
      <c r="I243" s="7" t="n"/>
      <c r="J243" s="7" t="n"/>
      <c r="K243" s="13">
        <f>IF(OR(I243="",J243="",J243=0),"",I243/J243)</f>
        <v/>
      </c>
      <c r="L243" s="6" t="n"/>
      <c r="M243" s="6" t="n"/>
      <c r="N243" s="6" t="n"/>
    </row>
    <row r="244">
      <c r="A244" s="12" t="n"/>
      <c r="B244" s="6" t="n"/>
      <c r="C244" s="6" t="n"/>
      <c r="D244" s="6" t="n"/>
      <c r="E244" s="6" t="n"/>
      <c r="F244" s="6" t="n"/>
      <c r="G244" s="6" t="n"/>
      <c r="H244" s="6" t="n"/>
      <c r="I244" s="7" t="n"/>
      <c r="J244" s="7" t="n"/>
      <c r="K244" s="13">
        <f>IF(OR(I244="",J244="",J244=0),"",I244/J244)</f>
        <v/>
      </c>
      <c r="L244" s="6" t="n"/>
      <c r="M244" s="6" t="n"/>
      <c r="N244" s="6" t="n"/>
    </row>
    <row r="245">
      <c r="A245" s="12" t="n"/>
      <c r="B245" s="6" t="n"/>
      <c r="C245" s="6" t="n"/>
      <c r="D245" s="6" t="n"/>
      <c r="E245" s="6" t="n"/>
      <c r="F245" s="6" t="n"/>
      <c r="G245" s="6" t="n"/>
      <c r="H245" s="6" t="n"/>
      <c r="I245" s="7" t="n"/>
      <c r="J245" s="7" t="n"/>
      <c r="K245" s="13">
        <f>IF(OR(I245="",J245="",J245=0),"",I245/J245)</f>
        <v/>
      </c>
      <c r="L245" s="6" t="n"/>
      <c r="M245" s="6" t="n"/>
      <c r="N245" s="6" t="n"/>
    </row>
    <row r="246">
      <c r="A246" s="12" t="n"/>
      <c r="B246" s="6" t="n"/>
      <c r="C246" s="6" t="n"/>
      <c r="D246" s="6" t="n"/>
      <c r="E246" s="6" t="n"/>
      <c r="F246" s="6" t="n"/>
      <c r="G246" s="6" t="n"/>
      <c r="H246" s="6" t="n"/>
      <c r="I246" s="7" t="n"/>
      <c r="J246" s="7" t="n"/>
      <c r="K246" s="13">
        <f>IF(OR(I246="",J246="",J246=0),"",I246/J246)</f>
        <v/>
      </c>
      <c r="L246" s="6" t="n"/>
      <c r="M246" s="6" t="n"/>
      <c r="N246" s="6" t="n"/>
    </row>
    <row r="247">
      <c r="A247" s="12" t="n"/>
      <c r="B247" s="6" t="n"/>
      <c r="C247" s="6" t="n"/>
      <c r="D247" s="6" t="n"/>
      <c r="E247" s="6" t="n"/>
      <c r="F247" s="6" t="n"/>
      <c r="G247" s="6" t="n"/>
      <c r="H247" s="6" t="n"/>
      <c r="I247" s="7" t="n"/>
      <c r="J247" s="7" t="n"/>
      <c r="K247" s="13">
        <f>IF(OR(I247="",J247="",J247=0),"",I247/J247)</f>
        <v/>
      </c>
      <c r="L247" s="6" t="n"/>
      <c r="M247" s="6" t="n"/>
      <c r="N247" s="6" t="n"/>
    </row>
    <row r="248">
      <c r="A248" s="12" t="n"/>
      <c r="B248" s="6" t="n"/>
      <c r="C248" s="6" t="n"/>
      <c r="D248" s="6" t="n"/>
      <c r="E248" s="6" t="n"/>
      <c r="F248" s="6" t="n"/>
      <c r="G248" s="6" t="n"/>
      <c r="H248" s="6" t="n"/>
      <c r="I248" s="7" t="n"/>
      <c r="J248" s="7" t="n"/>
      <c r="K248" s="13">
        <f>IF(OR(I248="",J248="",J248=0),"",I248/J248)</f>
        <v/>
      </c>
      <c r="L248" s="6" t="n"/>
      <c r="M248" s="6" t="n"/>
      <c r="N248" s="6" t="n"/>
    </row>
    <row r="249">
      <c r="A249" s="12" t="n"/>
      <c r="B249" s="6" t="n"/>
      <c r="C249" s="6" t="n"/>
      <c r="D249" s="6" t="n"/>
      <c r="E249" s="6" t="n"/>
      <c r="F249" s="6" t="n"/>
      <c r="G249" s="6" t="n"/>
      <c r="H249" s="6" t="n"/>
      <c r="I249" s="7" t="n"/>
      <c r="J249" s="7" t="n"/>
      <c r="K249" s="13">
        <f>IF(OR(I249="",J249="",J249=0),"",I249/J249)</f>
        <v/>
      </c>
      <c r="L249" s="6" t="n"/>
      <c r="M249" s="6" t="n"/>
      <c r="N249" s="6" t="n"/>
    </row>
    <row r="250">
      <c r="A250" s="12" t="n"/>
      <c r="B250" s="6" t="n"/>
      <c r="C250" s="6" t="n"/>
      <c r="D250" s="6" t="n"/>
      <c r="E250" s="6" t="n"/>
      <c r="F250" s="6" t="n"/>
      <c r="G250" s="6" t="n"/>
      <c r="H250" s="6" t="n"/>
      <c r="I250" s="7" t="n"/>
      <c r="J250" s="7" t="n"/>
      <c r="K250" s="13">
        <f>IF(OR(I250="",J250="",J250=0),"",I250/J250)</f>
        <v/>
      </c>
      <c r="L250" s="6" t="n"/>
      <c r="M250" s="6" t="n"/>
      <c r="N250" s="6" t="n"/>
    </row>
    <row r="251">
      <c r="A251" s="12" t="n"/>
      <c r="B251" s="6" t="n"/>
      <c r="C251" s="6" t="n"/>
      <c r="D251" s="6" t="n"/>
      <c r="E251" s="6" t="n"/>
      <c r="F251" s="6" t="n"/>
      <c r="G251" s="6" t="n"/>
      <c r="H251" s="6" t="n"/>
      <c r="I251" s="7" t="n"/>
      <c r="J251" s="7" t="n"/>
      <c r="K251" s="13">
        <f>IF(OR(I251="",J251="",J251=0),"",I251/J251)</f>
        <v/>
      </c>
      <c r="L251" s="6" t="n"/>
      <c r="M251" s="6" t="n"/>
      <c r="N251" s="6" t="n"/>
    </row>
    <row r="252">
      <c r="A252" s="12" t="n"/>
      <c r="B252" s="6" t="n"/>
      <c r="C252" s="6" t="n"/>
      <c r="D252" s="6" t="n"/>
      <c r="E252" s="6" t="n"/>
      <c r="F252" s="6" t="n"/>
      <c r="G252" s="6" t="n"/>
      <c r="H252" s="6" t="n"/>
      <c r="I252" s="7" t="n"/>
      <c r="J252" s="7" t="n"/>
      <c r="K252" s="13">
        <f>IF(OR(I252="",J252="",J252=0),"",I252/J252)</f>
        <v/>
      </c>
      <c r="L252" s="6" t="n"/>
      <c r="M252" s="6" t="n"/>
      <c r="N252" s="6" t="n"/>
    </row>
    <row r="253">
      <c r="A253" s="12" t="n"/>
      <c r="B253" s="6" t="n"/>
      <c r="C253" s="6" t="n"/>
      <c r="D253" s="6" t="n"/>
      <c r="E253" s="6" t="n"/>
      <c r="F253" s="6" t="n"/>
      <c r="G253" s="6" t="n"/>
      <c r="H253" s="6" t="n"/>
      <c r="I253" s="7" t="n"/>
      <c r="J253" s="7" t="n"/>
      <c r="K253" s="13">
        <f>IF(OR(I253="",J253="",J253=0),"",I253/J253)</f>
        <v/>
      </c>
      <c r="L253" s="6" t="n"/>
      <c r="M253" s="6" t="n"/>
      <c r="N253" s="6" t="n"/>
    </row>
    <row r="254">
      <c r="A254" s="12" t="n"/>
      <c r="B254" s="6" t="n"/>
      <c r="C254" s="6" t="n"/>
      <c r="D254" s="6" t="n"/>
      <c r="E254" s="6" t="n"/>
      <c r="F254" s="6" t="n"/>
      <c r="G254" s="6" t="n"/>
      <c r="H254" s="6" t="n"/>
      <c r="I254" s="7" t="n"/>
      <c r="J254" s="7" t="n"/>
      <c r="K254" s="13">
        <f>IF(OR(I254="",J254="",J254=0),"",I254/J254)</f>
        <v/>
      </c>
      <c r="L254" s="6" t="n"/>
      <c r="M254" s="6" t="n"/>
      <c r="N254" s="6" t="n"/>
    </row>
    <row r="255">
      <c r="A255" s="12" t="n"/>
      <c r="B255" s="6" t="n"/>
      <c r="C255" s="6" t="n"/>
      <c r="D255" s="6" t="n"/>
      <c r="E255" s="6" t="n"/>
      <c r="F255" s="6" t="n"/>
      <c r="G255" s="6" t="n"/>
      <c r="H255" s="6" t="n"/>
      <c r="I255" s="7" t="n"/>
      <c r="J255" s="7" t="n"/>
      <c r="K255" s="13">
        <f>IF(OR(I255="",J255="",J255=0),"",I255/J255)</f>
        <v/>
      </c>
      <c r="L255" s="6" t="n"/>
      <c r="M255" s="6" t="n"/>
      <c r="N255" s="6" t="n"/>
    </row>
    <row r="256">
      <c r="A256" s="12" t="n"/>
      <c r="B256" s="6" t="n"/>
      <c r="C256" s="6" t="n"/>
      <c r="D256" s="6" t="n"/>
      <c r="E256" s="6" t="n"/>
      <c r="F256" s="6" t="n"/>
      <c r="G256" s="6" t="n"/>
      <c r="H256" s="6" t="n"/>
      <c r="I256" s="7" t="n"/>
      <c r="J256" s="7" t="n"/>
      <c r="K256" s="13">
        <f>IF(OR(I256="",J256="",J256=0),"",I256/J256)</f>
        <v/>
      </c>
      <c r="L256" s="6" t="n"/>
      <c r="M256" s="6" t="n"/>
      <c r="N256" s="6" t="n"/>
    </row>
    <row r="257">
      <c r="A257" s="12" t="n"/>
      <c r="B257" s="6" t="n"/>
      <c r="C257" s="6" t="n"/>
      <c r="D257" s="6" t="n"/>
      <c r="E257" s="6" t="n"/>
      <c r="F257" s="6" t="n"/>
      <c r="G257" s="6" t="n"/>
      <c r="H257" s="6" t="n"/>
      <c r="I257" s="7" t="n"/>
      <c r="J257" s="7" t="n"/>
      <c r="K257" s="13">
        <f>IF(OR(I257="",J257="",J257=0),"",I257/J257)</f>
        <v/>
      </c>
      <c r="L257" s="6" t="n"/>
      <c r="M257" s="6" t="n"/>
      <c r="N257" s="6" t="n"/>
    </row>
    <row r="258">
      <c r="A258" s="12" t="n"/>
      <c r="B258" s="6" t="n"/>
      <c r="C258" s="6" t="n"/>
      <c r="D258" s="6" t="n"/>
      <c r="E258" s="6" t="n"/>
      <c r="F258" s="6" t="n"/>
      <c r="G258" s="6" t="n"/>
      <c r="H258" s="6" t="n"/>
      <c r="I258" s="7" t="n"/>
      <c r="J258" s="7" t="n"/>
      <c r="K258" s="13">
        <f>IF(OR(I258="",J258="",J258=0),"",I258/J258)</f>
        <v/>
      </c>
      <c r="L258" s="6" t="n"/>
      <c r="M258" s="6" t="n"/>
      <c r="N258" s="6" t="n"/>
    </row>
    <row r="259">
      <c r="A259" s="12" t="n"/>
      <c r="B259" s="6" t="n"/>
      <c r="C259" s="6" t="n"/>
      <c r="D259" s="6" t="n"/>
      <c r="E259" s="6" t="n"/>
      <c r="F259" s="6" t="n"/>
      <c r="G259" s="6" t="n"/>
      <c r="H259" s="6" t="n"/>
      <c r="I259" s="7" t="n"/>
      <c r="J259" s="7" t="n"/>
      <c r="K259" s="13">
        <f>IF(OR(I259="",J259="",J259=0),"",I259/J259)</f>
        <v/>
      </c>
      <c r="L259" s="6" t="n"/>
      <c r="M259" s="6" t="n"/>
      <c r="N259" s="6" t="n"/>
    </row>
    <row r="260">
      <c r="A260" s="12" t="n"/>
      <c r="B260" s="6" t="n"/>
      <c r="C260" s="6" t="n"/>
      <c r="D260" s="6" t="n"/>
      <c r="E260" s="6" t="n"/>
      <c r="F260" s="6" t="n"/>
      <c r="G260" s="6" t="n"/>
      <c r="H260" s="6" t="n"/>
      <c r="I260" s="7" t="n"/>
      <c r="J260" s="7" t="n"/>
      <c r="K260" s="13">
        <f>IF(OR(I260="",J260="",J260=0),"",I260/J260)</f>
        <v/>
      </c>
      <c r="L260" s="6" t="n"/>
      <c r="M260" s="6" t="n"/>
      <c r="N260" s="6" t="n"/>
    </row>
    <row r="261">
      <c r="A261" s="12" t="n"/>
      <c r="B261" s="6" t="n"/>
      <c r="C261" s="6" t="n"/>
      <c r="D261" s="6" t="n"/>
      <c r="E261" s="6" t="n"/>
      <c r="F261" s="6" t="n"/>
      <c r="G261" s="6" t="n"/>
      <c r="H261" s="6" t="n"/>
      <c r="I261" s="7" t="n"/>
      <c r="J261" s="7" t="n"/>
      <c r="K261" s="13">
        <f>IF(OR(I261="",J261="",J261=0),"",I261/J261)</f>
        <v/>
      </c>
      <c r="L261" s="6" t="n"/>
      <c r="M261" s="6" t="n"/>
      <c r="N261" s="6" t="n"/>
    </row>
    <row r="262">
      <c r="A262" s="12" t="n"/>
      <c r="B262" s="6" t="n"/>
      <c r="C262" s="6" t="n"/>
      <c r="D262" s="6" t="n"/>
      <c r="E262" s="6" t="n"/>
      <c r="F262" s="6" t="n"/>
      <c r="G262" s="6" t="n"/>
      <c r="H262" s="6" t="n"/>
      <c r="I262" s="7" t="n"/>
      <c r="J262" s="7" t="n"/>
      <c r="K262" s="13">
        <f>IF(OR(I262="",J262="",J262=0),"",I262/J262)</f>
        <v/>
      </c>
      <c r="L262" s="6" t="n"/>
      <c r="M262" s="6" t="n"/>
      <c r="N262" s="6" t="n"/>
    </row>
    <row r="263">
      <c r="A263" s="12" t="n"/>
      <c r="B263" s="6" t="n"/>
      <c r="C263" s="6" t="n"/>
      <c r="D263" s="6" t="n"/>
      <c r="E263" s="6" t="n"/>
      <c r="F263" s="6" t="n"/>
      <c r="G263" s="6" t="n"/>
      <c r="H263" s="6" t="n"/>
      <c r="I263" s="7" t="n"/>
      <c r="J263" s="7" t="n"/>
      <c r="K263" s="13">
        <f>IF(OR(I263="",J263="",J263=0),"",I263/J263)</f>
        <v/>
      </c>
      <c r="L263" s="6" t="n"/>
      <c r="M263" s="6" t="n"/>
      <c r="N263" s="6" t="n"/>
    </row>
    <row r="264">
      <c r="A264" s="12" t="n"/>
      <c r="B264" s="6" t="n"/>
      <c r="C264" s="6" t="n"/>
      <c r="D264" s="6" t="n"/>
      <c r="E264" s="6" t="n"/>
      <c r="F264" s="6" t="n"/>
      <c r="G264" s="6" t="n"/>
      <c r="H264" s="6" t="n"/>
      <c r="I264" s="7" t="n"/>
      <c r="J264" s="7" t="n"/>
      <c r="K264" s="13">
        <f>IF(OR(I264="",J264="",J264=0),"",I264/J264)</f>
        <v/>
      </c>
      <c r="L264" s="6" t="n"/>
      <c r="M264" s="6" t="n"/>
      <c r="N264" s="6" t="n"/>
    </row>
    <row r="265">
      <c r="A265" s="12" t="n"/>
      <c r="B265" s="6" t="n"/>
      <c r="C265" s="6" t="n"/>
      <c r="D265" s="6" t="n"/>
      <c r="E265" s="6" t="n"/>
      <c r="F265" s="6" t="n"/>
      <c r="G265" s="6" t="n"/>
      <c r="H265" s="6" t="n"/>
      <c r="I265" s="7" t="n"/>
      <c r="J265" s="7" t="n"/>
      <c r="K265" s="13">
        <f>IF(OR(I265="",J265="",J265=0),"",I265/J265)</f>
        <v/>
      </c>
      <c r="L265" s="6" t="n"/>
      <c r="M265" s="6" t="n"/>
      <c r="N265" s="6" t="n"/>
    </row>
    <row r="266">
      <c r="A266" s="12" t="n"/>
      <c r="B266" s="6" t="n"/>
      <c r="C266" s="6" t="n"/>
      <c r="D266" s="6" t="n"/>
      <c r="E266" s="6" t="n"/>
      <c r="F266" s="6" t="n"/>
      <c r="G266" s="6" t="n"/>
      <c r="H266" s="6" t="n"/>
      <c r="I266" s="7" t="n"/>
      <c r="J266" s="7" t="n"/>
      <c r="K266" s="13">
        <f>IF(OR(I266="",J266="",J266=0),"",I266/J266)</f>
        <v/>
      </c>
      <c r="L266" s="6" t="n"/>
      <c r="M266" s="6" t="n"/>
      <c r="N266" s="6" t="n"/>
    </row>
    <row r="267">
      <c r="A267" s="12" t="n"/>
      <c r="B267" s="6" t="n"/>
      <c r="C267" s="6" t="n"/>
      <c r="D267" s="6" t="n"/>
      <c r="E267" s="6" t="n"/>
      <c r="F267" s="6" t="n"/>
      <c r="G267" s="6" t="n"/>
      <c r="H267" s="6" t="n"/>
      <c r="I267" s="7" t="n"/>
      <c r="J267" s="7" t="n"/>
      <c r="K267" s="13">
        <f>IF(OR(I267="",J267="",J267=0),"",I267/J267)</f>
        <v/>
      </c>
      <c r="L267" s="6" t="n"/>
      <c r="M267" s="6" t="n"/>
      <c r="N267" s="6" t="n"/>
    </row>
    <row r="268">
      <c r="A268" s="12" t="n"/>
      <c r="B268" s="6" t="n"/>
      <c r="C268" s="6" t="n"/>
      <c r="D268" s="6" t="n"/>
      <c r="E268" s="6" t="n"/>
      <c r="F268" s="6" t="n"/>
      <c r="G268" s="6" t="n"/>
      <c r="H268" s="6" t="n"/>
      <c r="I268" s="7" t="n"/>
      <c r="J268" s="7" t="n"/>
      <c r="K268" s="13">
        <f>IF(OR(I268="",J268="",J268=0),"",I268/J268)</f>
        <v/>
      </c>
      <c r="L268" s="6" t="n"/>
      <c r="M268" s="6" t="n"/>
      <c r="N268" s="6" t="n"/>
    </row>
    <row r="269">
      <c r="A269" s="12" t="n"/>
      <c r="B269" s="6" t="n"/>
      <c r="C269" s="6" t="n"/>
      <c r="D269" s="6" t="n"/>
      <c r="E269" s="6" t="n"/>
      <c r="F269" s="6" t="n"/>
      <c r="G269" s="6" t="n"/>
      <c r="H269" s="6" t="n"/>
      <c r="I269" s="7" t="n"/>
      <c r="J269" s="7" t="n"/>
      <c r="K269" s="13">
        <f>IF(OR(I269="",J269="",J269=0),"",I269/J269)</f>
        <v/>
      </c>
      <c r="L269" s="6" t="n"/>
      <c r="M269" s="6" t="n"/>
      <c r="N269" s="6" t="n"/>
    </row>
    <row r="270">
      <c r="A270" s="12" t="n"/>
      <c r="B270" s="6" t="n"/>
      <c r="C270" s="6" t="n"/>
      <c r="D270" s="6" t="n"/>
      <c r="E270" s="6" t="n"/>
      <c r="F270" s="6" t="n"/>
      <c r="G270" s="6" t="n"/>
      <c r="H270" s="6" t="n"/>
      <c r="I270" s="7" t="n"/>
      <c r="J270" s="7" t="n"/>
      <c r="K270" s="13">
        <f>IF(OR(I270="",J270="",J270=0),"",I270/J270)</f>
        <v/>
      </c>
      <c r="L270" s="6" t="n"/>
      <c r="M270" s="6" t="n"/>
      <c r="N270" s="6" t="n"/>
    </row>
    <row r="271">
      <c r="A271" s="12" t="n"/>
      <c r="B271" s="6" t="n"/>
      <c r="C271" s="6" t="n"/>
      <c r="D271" s="6" t="n"/>
      <c r="E271" s="6" t="n"/>
      <c r="F271" s="6" t="n"/>
      <c r="G271" s="6" t="n"/>
      <c r="H271" s="6" t="n"/>
      <c r="I271" s="7" t="n"/>
      <c r="J271" s="7" t="n"/>
      <c r="K271" s="13">
        <f>IF(OR(I271="",J271="",J271=0),"",I271/J271)</f>
        <v/>
      </c>
      <c r="L271" s="6" t="n"/>
      <c r="M271" s="6" t="n"/>
      <c r="N271" s="6" t="n"/>
    </row>
    <row r="272">
      <c r="A272" s="12" t="n"/>
      <c r="B272" s="6" t="n"/>
      <c r="C272" s="6" t="n"/>
      <c r="D272" s="6" t="n"/>
      <c r="E272" s="6" t="n"/>
      <c r="F272" s="6" t="n"/>
      <c r="G272" s="6" t="n"/>
      <c r="H272" s="6" t="n"/>
      <c r="I272" s="7" t="n"/>
      <c r="J272" s="7" t="n"/>
      <c r="K272" s="13">
        <f>IF(OR(I272="",J272="",J272=0),"",I272/J272)</f>
        <v/>
      </c>
      <c r="L272" s="6" t="n"/>
      <c r="M272" s="6" t="n"/>
      <c r="N272" s="6" t="n"/>
    </row>
    <row r="273">
      <c r="A273" s="12" t="n"/>
      <c r="B273" s="6" t="n"/>
      <c r="C273" s="6" t="n"/>
      <c r="D273" s="6" t="n"/>
      <c r="E273" s="6" t="n"/>
      <c r="F273" s="6" t="n"/>
      <c r="G273" s="6" t="n"/>
      <c r="H273" s="6" t="n"/>
      <c r="I273" s="7" t="n"/>
      <c r="J273" s="7" t="n"/>
      <c r="K273" s="13">
        <f>IF(OR(I273="",J273="",J273=0),"",I273/J273)</f>
        <v/>
      </c>
      <c r="L273" s="6" t="n"/>
      <c r="M273" s="6" t="n"/>
      <c r="N273" s="6" t="n"/>
    </row>
    <row r="274">
      <c r="A274" s="12" t="n"/>
      <c r="B274" s="6" t="n"/>
      <c r="C274" s="6" t="n"/>
      <c r="D274" s="6" t="n"/>
      <c r="E274" s="6" t="n"/>
      <c r="F274" s="6" t="n"/>
      <c r="G274" s="6" t="n"/>
      <c r="H274" s="6" t="n"/>
      <c r="I274" s="7" t="n"/>
      <c r="J274" s="7" t="n"/>
      <c r="K274" s="13">
        <f>IF(OR(I274="",J274="",J274=0),"",I274/J274)</f>
        <v/>
      </c>
      <c r="L274" s="6" t="n"/>
      <c r="M274" s="6" t="n"/>
      <c r="N274" s="6" t="n"/>
    </row>
    <row r="275">
      <c r="A275" s="12" t="n"/>
      <c r="B275" s="6" t="n"/>
      <c r="C275" s="6" t="n"/>
      <c r="D275" s="6" t="n"/>
      <c r="E275" s="6" t="n"/>
      <c r="F275" s="6" t="n"/>
      <c r="G275" s="6" t="n"/>
      <c r="H275" s="6" t="n"/>
      <c r="I275" s="7" t="n"/>
      <c r="J275" s="7" t="n"/>
      <c r="K275" s="13">
        <f>IF(OR(I275="",J275="",J275=0),"",I275/J275)</f>
        <v/>
      </c>
      <c r="L275" s="6" t="n"/>
      <c r="M275" s="6" t="n"/>
      <c r="N275" s="6" t="n"/>
    </row>
    <row r="276">
      <c r="A276" s="12" t="n"/>
      <c r="B276" s="6" t="n"/>
      <c r="C276" s="6" t="n"/>
      <c r="D276" s="6" t="n"/>
      <c r="E276" s="6" t="n"/>
      <c r="F276" s="6" t="n"/>
      <c r="G276" s="6" t="n"/>
      <c r="H276" s="6" t="n"/>
      <c r="I276" s="7" t="n"/>
      <c r="J276" s="7" t="n"/>
      <c r="K276" s="13">
        <f>IF(OR(I276="",J276="",J276=0),"",I276/J276)</f>
        <v/>
      </c>
      <c r="L276" s="6" t="n"/>
      <c r="M276" s="6" t="n"/>
      <c r="N276" s="6" t="n"/>
    </row>
    <row r="277">
      <c r="A277" s="12" t="n"/>
      <c r="B277" s="6" t="n"/>
      <c r="C277" s="6" t="n"/>
      <c r="D277" s="6" t="n"/>
      <c r="E277" s="6" t="n"/>
      <c r="F277" s="6" t="n"/>
      <c r="G277" s="6" t="n"/>
      <c r="H277" s="6" t="n"/>
      <c r="I277" s="7" t="n"/>
      <c r="J277" s="7" t="n"/>
      <c r="K277" s="13">
        <f>IF(OR(I277="",J277="",J277=0),"",I277/J277)</f>
        <v/>
      </c>
      <c r="L277" s="6" t="n"/>
      <c r="M277" s="6" t="n"/>
      <c r="N277" s="6" t="n"/>
    </row>
    <row r="278">
      <c r="A278" s="12" t="n"/>
      <c r="B278" s="6" t="n"/>
      <c r="C278" s="6" t="n"/>
      <c r="D278" s="6" t="n"/>
      <c r="E278" s="6" t="n"/>
      <c r="F278" s="6" t="n"/>
      <c r="G278" s="6" t="n"/>
      <c r="H278" s="6" t="n"/>
      <c r="I278" s="7" t="n"/>
      <c r="J278" s="7" t="n"/>
      <c r="K278" s="13">
        <f>IF(OR(I278="",J278="",J278=0),"",I278/J278)</f>
        <v/>
      </c>
      <c r="L278" s="6" t="n"/>
      <c r="M278" s="6" t="n"/>
      <c r="N278" s="6" t="n"/>
    </row>
    <row r="279">
      <c r="A279" s="12" t="n"/>
      <c r="B279" s="6" t="n"/>
      <c r="C279" s="6" t="n"/>
      <c r="D279" s="6" t="n"/>
      <c r="E279" s="6" t="n"/>
      <c r="F279" s="6" t="n"/>
      <c r="G279" s="6" t="n"/>
      <c r="H279" s="6" t="n"/>
      <c r="I279" s="7" t="n"/>
      <c r="J279" s="7" t="n"/>
      <c r="K279" s="13">
        <f>IF(OR(I279="",J279="",J279=0),"",I279/J279)</f>
        <v/>
      </c>
      <c r="L279" s="6" t="n"/>
      <c r="M279" s="6" t="n"/>
      <c r="N279" s="6" t="n"/>
    </row>
    <row r="280">
      <c r="A280" s="12" t="n"/>
      <c r="B280" s="6" t="n"/>
      <c r="C280" s="6" t="n"/>
      <c r="D280" s="6" t="n"/>
      <c r="E280" s="6" t="n"/>
      <c r="F280" s="6" t="n"/>
      <c r="G280" s="6" t="n"/>
      <c r="H280" s="6" t="n"/>
      <c r="I280" s="7" t="n"/>
      <c r="J280" s="7" t="n"/>
      <c r="K280" s="13">
        <f>IF(OR(I280="",J280="",J280=0),"",I280/J280)</f>
        <v/>
      </c>
      <c r="L280" s="6" t="n"/>
      <c r="M280" s="6" t="n"/>
      <c r="N280" s="6" t="n"/>
    </row>
    <row r="281">
      <c r="A281" s="12" t="n"/>
      <c r="B281" s="6" t="n"/>
      <c r="C281" s="6" t="n"/>
      <c r="D281" s="6" t="n"/>
      <c r="E281" s="6" t="n"/>
      <c r="F281" s="6" t="n"/>
      <c r="G281" s="6" t="n"/>
      <c r="H281" s="6" t="n"/>
      <c r="I281" s="7" t="n"/>
      <c r="J281" s="7" t="n"/>
      <c r="K281" s="13">
        <f>IF(OR(I281="",J281="",J281=0),"",I281/J281)</f>
        <v/>
      </c>
      <c r="L281" s="6" t="n"/>
      <c r="M281" s="6" t="n"/>
      <c r="N281" s="6" t="n"/>
    </row>
    <row r="282">
      <c r="A282" s="12" t="n"/>
      <c r="B282" s="6" t="n"/>
      <c r="C282" s="6" t="n"/>
      <c r="D282" s="6" t="n"/>
      <c r="E282" s="6" t="n"/>
      <c r="F282" s="6" t="n"/>
      <c r="G282" s="6" t="n"/>
      <c r="H282" s="6" t="n"/>
      <c r="I282" s="7" t="n"/>
      <c r="J282" s="7" t="n"/>
      <c r="K282" s="13">
        <f>IF(OR(I282="",J282="",J282=0),"",I282/J282)</f>
        <v/>
      </c>
      <c r="L282" s="6" t="n"/>
      <c r="M282" s="6" t="n"/>
      <c r="N282" s="6" t="n"/>
    </row>
    <row r="283">
      <c r="A283" s="12" t="n"/>
      <c r="B283" s="6" t="n"/>
      <c r="C283" s="6" t="n"/>
      <c r="D283" s="6" t="n"/>
      <c r="E283" s="6" t="n"/>
      <c r="F283" s="6" t="n"/>
      <c r="G283" s="6" t="n"/>
      <c r="H283" s="6" t="n"/>
      <c r="I283" s="7" t="n"/>
      <c r="J283" s="7" t="n"/>
      <c r="K283" s="13">
        <f>IF(OR(I283="",J283="",J283=0),"",I283/J283)</f>
        <v/>
      </c>
      <c r="L283" s="6" t="n"/>
      <c r="M283" s="6" t="n"/>
      <c r="N283" s="6" t="n"/>
    </row>
    <row r="284">
      <c r="A284" s="12" t="n"/>
      <c r="B284" s="6" t="n"/>
      <c r="C284" s="6" t="n"/>
      <c r="D284" s="6" t="n"/>
      <c r="E284" s="6" t="n"/>
      <c r="F284" s="6" t="n"/>
      <c r="G284" s="6" t="n"/>
      <c r="H284" s="6" t="n"/>
      <c r="I284" s="7" t="n"/>
      <c r="J284" s="7" t="n"/>
      <c r="K284" s="13">
        <f>IF(OR(I284="",J284="",J284=0),"",I284/J284)</f>
        <v/>
      </c>
      <c r="L284" s="6" t="n"/>
      <c r="M284" s="6" t="n"/>
      <c r="N284" s="6" t="n"/>
    </row>
    <row r="285">
      <c r="A285" s="12" t="n"/>
      <c r="B285" s="6" t="n"/>
      <c r="C285" s="6" t="n"/>
      <c r="D285" s="6" t="n"/>
      <c r="E285" s="6" t="n"/>
      <c r="F285" s="6" t="n"/>
      <c r="G285" s="6" t="n"/>
      <c r="H285" s="6" t="n"/>
      <c r="I285" s="7" t="n"/>
      <c r="J285" s="7" t="n"/>
      <c r="K285" s="13">
        <f>IF(OR(I285="",J285="",J285=0),"",I285/J285)</f>
        <v/>
      </c>
      <c r="L285" s="6" t="n"/>
      <c r="M285" s="6" t="n"/>
      <c r="N285" s="6" t="n"/>
    </row>
    <row r="286">
      <c r="A286" s="12" t="n"/>
      <c r="B286" s="6" t="n"/>
      <c r="C286" s="6" t="n"/>
      <c r="D286" s="6" t="n"/>
      <c r="E286" s="6" t="n"/>
      <c r="F286" s="6" t="n"/>
      <c r="G286" s="6" t="n"/>
      <c r="H286" s="6" t="n"/>
      <c r="I286" s="7" t="n"/>
      <c r="J286" s="7" t="n"/>
      <c r="K286" s="13">
        <f>IF(OR(I286="",J286="",J286=0),"",I286/J286)</f>
        <v/>
      </c>
      <c r="L286" s="6" t="n"/>
      <c r="M286" s="6" t="n"/>
      <c r="N286" s="6" t="n"/>
    </row>
    <row r="287">
      <c r="A287" s="12" t="n"/>
      <c r="B287" s="6" t="n"/>
      <c r="C287" s="6" t="n"/>
      <c r="D287" s="6" t="n"/>
      <c r="E287" s="6" t="n"/>
      <c r="F287" s="6" t="n"/>
      <c r="G287" s="6" t="n"/>
      <c r="H287" s="6" t="n"/>
      <c r="I287" s="7" t="n"/>
      <c r="J287" s="7" t="n"/>
      <c r="K287" s="13">
        <f>IF(OR(I287="",J287="",J287=0),"",I287/J287)</f>
        <v/>
      </c>
      <c r="L287" s="6" t="n"/>
      <c r="M287" s="6" t="n"/>
      <c r="N287" s="6" t="n"/>
    </row>
    <row r="288">
      <c r="A288" s="12" t="n"/>
      <c r="B288" s="6" t="n"/>
      <c r="C288" s="6" t="n"/>
      <c r="D288" s="6" t="n"/>
      <c r="E288" s="6" t="n"/>
      <c r="F288" s="6" t="n"/>
      <c r="G288" s="6" t="n"/>
      <c r="H288" s="6" t="n"/>
      <c r="I288" s="7" t="n"/>
      <c r="J288" s="7" t="n"/>
      <c r="K288" s="13">
        <f>IF(OR(I288="",J288="",J288=0),"",I288/J288)</f>
        <v/>
      </c>
      <c r="L288" s="6" t="n"/>
      <c r="M288" s="6" t="n"/>
      <c r="N288" s="6" t="n"/>
    </row>
    <row r="289">
      <c r="A289" s="12" t="n"/>
      <c r="B289" s="6" t="n"/>
      <c r="C289" s="6" t="n"/>
      <c r="D289" s="6" t="n"/>
      <c r="E289" s="6" t="n"/>
      <c r="F289" s="6" t="n"/>
      <c r="G289" s="6" t="n"/>
      <c r="H289" s="6" t="n"/>
      <c r="I289" s="7" t="n"/>
      <c r="J289" s="7" t="n"/>
      <c r="K289" s="13">
        <f>IF(OR(I289="",J289="",J289=0),"",I289/J289)</f>
        <v/>
      </c>
      <c r="L289" s="6" t="n"/>
      <c r="M289" s="6" t="n"/>
      <c r="N289" s="6" t="n"/>
    </row>
    <row r="290">
      <c r="A290" s="12" t="n"/>
      <c r="B290" s="6" t="n"/>
      <c r="C290" s="6" t="n"/>
      <c r="D290" s="6" t="n"/>
      <c r="E290" s="6" t="n"/>
      <c r="F290" s="6" t="n"/>
      <c r="G290" s="6" t="n"/>
      <c r="H290" s="6" t="n"/>
      <c r="I290" s="7" t="n"/>
      <c r="J290" s="7" t="n"/>
      <c r="K290" s="13">
        <f>IF(OR(I290="",J290="",J290=0),"",I290/J290)</f>
        <v/>
      </c>
      <c r="L290" s="6" t="n"/>
      <c r="M290" s="6" t="n"/>
      <c r="N290" s="6" t="n"/>
    </row>
    <row r="291">
      <c r="A291" s="12" t="n"/>
      <c r="B291" s="6" t="n"/>
      <c r="C291" s="6" t="n"/>
      <c r="D291" s="6" t="n"/>
      <c r="E291" s="6" t="n"/>
      <c r="F291" s="6" t="n"/>
      <c r="G291" s="6" t="n"/>
      <c r="H291" s="6" t="n"/>
      <c r="I291" s="7" t="n"/>
      <c r="J291" s="7" t="n"/>
      <c r="K291" s="13">
        <f>IF(OR(I291="",J291="",J291=0),"",I291/J291)</f>
        <v/>
      </c>
      <c r="L291" s="6" t="n"/>
      <c r="M291" s="6" t="n"/>
      <c r="N291" s="6" t="n"/>
    </row>
    <row r="292">
      <c r="A292" s="12" t="n"/>
      <c r="B292" s="6" t="n"/>
      <c r="C292" s="6" t="n"/>
      <c r="D292" s="6" t="n"/>
      <c r="E292" s="6" t="n"/>
      <c r="F292" s="6" t="n"/>
      <c r="G292" s="6" t="n"/>
      <c r="H292" s="6" t="n"/>
      <c r="I292" s="7" t="n"/>
      <c r="J292" s="7" t="n"/>
      <c r="K292" s="13">
        <f>IF(OR(I292="",J292="",J292=0),"",I292/J292)</f>
        <v/>
      </c>
      <c r="L292" s="6" t="n"/>
      <c r="M292" s="6" t="n"/>
      <c r="N292" s="6" t="n"/>
    </row>
    <row r="293">
      <c r="A293" s="12" t="n"/>
      <c r="B293" s="6" t="n"/>
      <c r="C293" s="6" t="n"/>
      <c r="D293" s="6" t="n"/>
      <c r="E293" s="6" t="n"/>
      <c r="F293" s="6" t="n"/>
      <c r="G293" s="6" t="n"/>
      <c r="H293" s="6" t="n"/>
      <c r="I293" s="7" t="n"/>
      <c r="J293" s="7" t="n"/>
      <c r="K293" s="13">
        <f>IF(OR(I293="",J293="",J293=0),"",I293/J293)</f>
        <v/>
      </c>
      <c r="L293" s="6" t="n"/>
      <c r="M293" s="6" t="n"/>
      <c r="N293" s="6" t="n"/>
    </row>
    <row r="294">
      <c r="A294" s="12" t="n"/>
      <c r="B294" s="6" t="n"/>
      <c r="C294" s="6" t="n"/>
      <c r="D294" s="6" t="n"/>
      <c r="E294" s="6" t="n"/>
      <c r="F294" s="6" t="n"/>
      <c r="G294" s="6" t="n"/>
      <c r="H294" s="6" t="n"/>
      <c r="I294" s="7" t="n"/>
      <c r="J294" s="7" t="n"/>
      <c r="K294" s="13">
        <f>IF(OR(I294="",J294="",J294=0),"",I294/J294)</f>
        <v/>
      </c>
      <c r="L294" s="6" t="n"/>
      <c r="M294" s="6" t="n"/>
      <c r="N294" s="6" t="n"/>
    </row>
    <row r="295">
      <c r="A295" s="12" t="n"/>
      <c r="B295" s="6" t="n"/>
      <c r="C295" s="6" t="n"/>
      <c r="D295" s="6" t="n"/>
      <c r="E295" s="6" t="n"/>
      <c r="F295" s="6" t="n"/>
      <c r="G295" s="6" t="n"/>
      <c r="H295" s="6" t="n"/>
      <c r="I295" s="7" t="n"/>
      <c r="J295" s="7" t="n"/>
      <c r="K295" s="13">
        <f>IF(OR(I295="",J295="",J295=0),"",I295/J295)</f>
        <v/>
      </c>
      <c r="L295" s="6" t="n"/>
      <c r="M295" s="6" t="n"/>
      <c r="N295" s="6" t="n"/>
    </row>
    <row r="296">
      <c r="A296" s="12" t="n"/>
      <c r="B296" s="6" t="n"/>
      <c r="C296" s="6" t="n"/>
      <c r="D296" s="6" t="n"/>
      <c r="E296" s="6" t="n"/>
      <c r="F296" s="6" t="n"/>
      <c r="G296" s="6" t="n"/>
      <c r="H296" s="6" t="n"/>
      <c r="I296" s="7" t="n"/>
      <c r="J296" s="7" t="n"/>
      <c r="K296" s="13">
        <f>IF(OR(I296="",J296="",J296=0),"",I296/J296)</f>
        <v/>
      </c>
      <c r="L296" s="6" t="n"/>
      <c r="M296" s="6" t="n"/>
      <c r="N296" s="6" t="n"/>
    </row>
    <row r="297">
      <c r="A297" s="12" t="n"/>
      <c r="B297" s="6" t="n"/>
      <c r="C297" s="6" t="n"/>
      <c r="D297" s="6" t="n"/>
      <c r="E297" s="6" t="n"/>
      <c r="F297" s="6" t="n"/>
      <c r="G297" s="6" t="n"/>
      <c r="H297" s="6" t="n"/>
      <c r="I297" s="7" t="n"/>
      <c r="J297" s="7" t="n"/>
      <c r="K297" s="13">
        <f>IF(OR(I297="",J297="",J297=0),"",I297/J297)</f>
        <v/>
      </c>
      <c r="L297" s="6" t="n"/>
      <c r="M297" s="6" t="n"/>
      <c r="N297" s="6" t="n"/>
    </row>
    <row r="298">
      <c r="A298" s="12" t="n"/>
      <c r="B298" s="6" t="n"/>
      <c r="C298" s="6" t="n"/>
      <c r="D298" s="6" t="n"/>
      <c r="E298" s="6" t="n"/>
      <c r="F298" s="6" t="n"/>
      <c r="G298" s="6" t="n"/>
      <c r="H298" s="6" t="n"/>
      <c r="I298" s="7" t="n"/>
      <c r="J298" s="7" t="n"/>
      <c r="K298" s="13">
        <f>IF(OR(I298="",J298="",J298=0),"",I298/J298)</f>
        <v/>
      </c>
      <c r="L298" s="6" t="n"/>
      <c r="M298" s="6" t="n"/>
      <c r="N298" s="6" t="n"/>
    </row>
    <row r="299">
      <c r="A299" s="12" t="n"/>
      <c r="B299" s="6" t="n"/>
      <c r="C299" s="6" t="n"/>
      <c r="D299" s="6" t="n"/>
      <c r="E299" s="6" t="n"/>
      <c r="F299" s="6" t="n"/>
      <c r="G299" s="6" t="n"/>
      <c r="H299" s="6" t="n"/>
      <c r="I299" s="7" t="n"/>
      <c r="J299" s="7" t="n"/>
      <c r="K299" s="13">
        <f>IF(OR(I299="",J299="",J299=0),"",I299/J299)</f>
        <v/>
      </c>
      <c r="L299" s="6" t="n"/>
      <c r="M299" s="6" t="n"/>
      <c r="N299" s="6" t="n"/>
    </row>
    <row r="300">
      <c r="A300" s="12" t="n"/>
      <c r="B300" s="6" t="n"/>
      <c r="C300" s="6" t="n"/>
      <c r="D300" s="6" t="n"/>
      <c r="E300" s="6" t="n"/>
      <c r="F300" s="6" t="n"/>
      <c r="G300" s="6" t="n"/>
      <c r="H300" s="6" t="n"/>
      <c r="I300" s="7" t="n"/>
      <c r="J300" s="7" t="n"/>
      <c r="K300" s="13">
        <f>IF(OR(I300="",J300="",J300=0),"",I300/J300)</f>
        <v/>
      </c>
      <c r="L300" s="6" t="n"/>
      <c r="M300" s="6" t="n"/>
      <c r="N300" s="6" t="n"/>
    </row>
    <row r="301">
      <c r="A301" s="12" t="n"/>
      <c r="B301" s="6" t="n"/>
      <c r="C301" s="6" t="n"/>
      <c r="D301" s="6" t="n"/>
      <c r="E301" s="6" t="n"/>
      <c r="F301" s="6" t="n"/>
      <c r="G301" s="6" t="n"/>
      <c r="H301" s="6" t="n"/>
      <c r="I301" s="7" t="n"/>
      <c r="J301" s="7" t="n"/>
      <c r="K301" s="13">
        <f>IF(OR(I301="",J301="",J301=0),"",I301/J301)</f>
        <v/>
      </c>
      <c r="L301" s="6" t="n"/>
      <c r="M301" s="6" t="n"/>
      <c r="N301" s="6" t="n"/>
    </row>
  </sheetData>
  <dataValidations count="3">
    <dataValidation sqref="D2:D301" showDropDown="0" showInputMessage="0" showErrorMessage="0" allowBlank="1" type="list">
      <formula1>"Compra,Venta"</formula1>
    </dataValidation>
    <dataValidation sqref="M2:M301" showDropDown="0" showInputMessage="0" showErrorMessage="0" allowBlank="1" type="list">
      <formula1>"Sí,No"</formula1>
    </dataValidation>
    <dataValidation sqref="B2:B301" showDropDown="0" showInputMessage="0" showErrorMessage="0" allowBlank="1" type="list">
      <formula1>=Cuentas!$A$2:$A$21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5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1" customWidth="1" min="10" max="10"/>
    <col width="16" customWidth="1" min="11" max="11"/>
    <col width="40" customWidth="1" min="12" max="12"/>
  </cols>
  <sheetData>
    <row r="1" ht="32" customHeight="1">
      <c r="A1" s="5" t="inlineStr">
        <is>
          <t>Semana (lunes)</t>
        </is>
      </c>
      <c r="B1" s="5" t="inlineStr">
        <is>
          <t>Cuenta</t>
        </is>
      </c>
      <c r="C1" s="5" t="inlineStr">
        <is>
          <t>Balance inicio ($)</t>
        </is>
      </c>
      <c r="D1" s="5" t="inlineStr">
        <is>
          <t>Balance fin ($)</t>
        </is>
      </c>
      <c r="E1" s="5" t="inlineStr">
        <is>
          <t>P/L ($)</t>
        </is>
      </c>
      <c r="F1" s="5" t="inlineStr">
        <is>
          <t>P/L %</t>
        </is>
      </c>
      <c r="G1" s="5" t="inlineStr">
        <is>
          <t>Operaciones</t>
        </is>
      </c>
      <c r="H1" s="5" t="inlineStr">
        <is>
          <t>Ganadoras</t>
        </is>
      </c>
      <c r="I1" s="5" t="inlineStr">
        <is>
          <t>% ganadoras</t>
        </is>
      </c>
      <c r="J1" s="5" t="inlineStr">
        <is>
          <t>Suma en R</t>
        </is>
      </c>
      <c r="K1" s="5" t="inlineStr">
        <is>
          <t>Margen hasta el límite ($)</t>
        </is>
      </c>
      <c r="L1" s="5" t="inlineStr">
        <is>
          <t>Notas</t>
        </is>
      </c>
    </row>
    <row r="2">
      <c r="A2" s="12" t="n">
        <v>46300</v>
      </c>
      <c r="B2" s="6" t="inlineStr">
        <is>
          <t>Apex 1</t>
        </is>
      </c>
      <c r="C2" s="7" t="n">
        <v>50000</v>
      </c>
      <c r="D2" s="7" t="n">
        <v>50200</v>
      </c>
      <c r="E2" s="8">
        <f>IF(OR(C2="",D2=""),"",D2-C2)</f>
        <v/>
      </c>
      <c r="F2" s="9">
        <f>IF(OR(C2="",D2="",C2=0),"",E2/C2)</f>
        <v/>
      </c>
      <c r="G2" s="14">
        <f>IF(OR(A2="",B2=""),"",COUNTIFS(Diario!$B$2:$B$301,$B2,Diario!$A$2:$A$301,"&gt;="&amp;$A2,Diario!$A$2:$A$301,"&lt;"&amp;$A2+7))</f>
        <v/>
      </c>
      <c r="H2" s="14">
        <f>IF(OR(A2="",B2=""),"",COUNTIFS(Diario!$B$2:$B$301,$B2,Diario!$A$2:$A$301,"&gt;="&amp;$A2,Diario!$A$2:$A$301,"&lt;"&amp;$A2+7,Diario!$I$2:$I$301,"&gt;0"))</f>
        <v/>
      </c>
      <c r="I2" s="9">
        <f>IF(OR(G2="",G2=0),"",H2/G2)</f>
        <v/>
      </c>
      <c r="J2" s="13">
        <f>IF(OR(A2="",B2=""),"",SUMIFS(Diario!$K$2:$K$301,Diario!$B$2:$B$301,$B2,Diario!$A$2:$A$301,"&gt;="&amp;$A2,Diario!$A$2:$A$301,"&lt;"&amp;$A2+7))</f>
        <v/>
      </c>
      <c r="K2" s="8">
        <f>IF(OR(D2="",B2=""),"",IFERROR(IF(INDEX(Cuentas!$J$2:$J$21,MATCH(B2,Cuentas!$A$2:$A$21,0))="","",D2-INDEX(Cuentas!$J$2:$J$21,MATCH(B2,Cuentas!$A$2:$A$21,0))),""))</f>
        <v/>
      </c>
      <c r="L2" s="6" t="inlineStr">
        <is>
          <t>Ejemplo: bórrala cuando empieces</t>
        </is>
      </c>
    </row>
    <row r="3">
      <c r="A3" s="12" t="n"/>
      <c r="B3" s="6" t="n"/>
      <c r="C3" s="7" t="n"/>
      <c r="D3" s="7" t="n"/>
      <c r="E3" s="8">
        <f>IF(OR(C3="",D3=""),"",D3-C3)</f>
        <v/>
      </c>
      <c r="F3" s="9">
        <f>IF(OR(C3="",D3="",C3=0),"",E3/C3)</f>
        <v/>
      </c>
      <c r="G3" s="14">
        <f>IF(OR(A3="",B3=""),"",COUNTIFS(Diario!$B$2:$B$301,$B3,Diario!$A$2:$A$301,"&gt;="&amp;$A3,Diario!$A$2:$A$301,"&lt;"&amp;$A3+7))</f>
        <v/>
      </c>
      <c r="H3" s="14">
        <f>IF(OR(A3="",B3=""),"",COUNTIFS(Diario!$B$2:$B$301,$B3,Diario!$A$2:$A$301,"&gt;="&amp;$A3,Diario!$A$2:$A$301,"&lt;"&amp;$A3+7,Diario!$I$2:$I$301,"&gt;0"))</f>
        <v/>
      </c>
      <c r="I3" s="9">
        <f>IF(OR(G3="",G3=0),"",H3/G3)</f>
        <v/>
      </c>
      <c r="J3" s="13">
        <f>IF(OR(A3="",B3=""),"",SUMIFS(Diario!$K$2:$K$301,Diario!$B$2:$B$301,$B3,Diario!$A$2:$A$301,"&gt;="&amp;$A3,Diario!$A$2:$A$301,"&lt;"&amp;$A3+7))</f>
        <v/>
      </c>
      <c r="K3" s="8">
        <f>IF(OR(D3="",B3=""),"",IFERROR(IF(INDEX(Cuentas!$J$2:$J$21,MATCH(B3,Cuentas!$A$2:$A$21,0))="","",D3-INDEX(Cuentas!$J$2:$J$21,MATCH(B3,Cuentas!$A$2:$A$21,0))),""))</f>
        <v/>
      </c>
      <c r="L3" s="6" t="n"/>
    </row>
    <row r="4">
      <c r="A4" s="12" t="n"/>
      <c r="B4" s="6" t="n"/>
      <c r="C4" s="7" t="n"/>
      <c r="D4" s="7" t="n"/>
      <c r="E4" s="8">
        <f>IF(OR(C4="",D4=""),"",D4-C4)</f>
        <v/>
      </c>
      <c r="F4" s="9">
        <f>IF(OR(C4="",D4="",C4=0),"",E4/C4)</f>
        <v/>
      </c>
      <c r="G4" s="14">
        <f>IF(OR(A4="",B4=""),"",COUNTIFS(Diario!$B$2:$B$301,$B4,Diario!$A$2:$A$301,"&gt;="&amp;$A4,Diario!$A$2:$A$301,"&lt;"&amp;$A4+7))</f>
        <v/>
      </c>
      <c r="H4" s="14">
        <f>IF(OR(A4="",B4=""),"",COUNTIFS(Diario!$B$2:$B$301,$B4,Diario!$A$2:$A$301,"&gt;="&amp;$A4,Diario!$A$2:$A$301,"&lt;"&amp;$A4+7,Diario!$I$2:$I$301,"&gt;0"))</f>
        <v/>
      </c>
      <c r="I4" s="9">
        <f>IF(OR(G4="",G4=0),"",H4/G4)</f>
        <v/>
      </c>
      <c r="J4" s="13">
        <f>IF(OR(A4="",B4=""),"",SUMIFS(Diario!$K$2:$K$301,Diario!$B$2:$B$301,$B4,Diario!$A$2:$A$301,"&gt;="&amp;$A4,Diario!$A$2:$A$301,"&lt;"&amp;$A4+7))</f>
        <v/>
      </c>
      <c r="K4" s="8">
        <f>IF(OR(D4="",B4=""),"",IFERROR(IF(INDEX(Cuentas!$J$2:$J$21,MATCH(B4,Cuentas!$A$2:$A$21,0))="","",D4-INDEX(Cuentas!$J$2:$J$21,MATCH(B4,Cuentas!$A$2:$A$21,0))),""))</f>
        <v/>
      </c>
      <c r="L4" s="6" t="n"/>
    </row>
    <row r="5">
      <c r="A5" s="12" t="n"/>
      <c r="B5" s="6" t="n"/>
      <c r="C5" s="7" t="n"/>
      <c r="D5" s="7" t="n"/>
      <c r="E5" s="8">
        <f>IF(OR(C5="",D5=""),"",D5-C5)</f>
        <v/>
      </c>
      <c r="F5" s="9">
        <f>IF(OR(C5="",D5="",C5=0),"",E5/C5)</f>
        <v/>
      </c>
      <c r="G5" s="14">
        <f>IF(OR(A5="",B5=""),"",COUNTIFS(Diario!$B$2:$B$301,$B5,Diario!$A$2:$A$301,"&gt;="&amp;$A5,Diario!$A$2:$A$301,"&lt;"&amp;$A5+7))</f>
        <v/>
      </c>
      <c r="H5" s="14">
        <f>IF(OR(A5="",B5=""),"",COUNTIFS(Diario!$B$2:$B$301,$B5,Diario!$A$2:$A$301,"&gt;="&amp;$A5,Diario!$A$2:$A$301,"&lt;"&amp;$A5+7,Diario!$I$2:$I$301,"&gt;0"))</f>
        <v/>
      </c>
      <c r="I5" s="9">
        <f>IF(OR(G5="",G5=0),"",H5/G5)</f>
        <v/>
      </c>
      <c r="J5" s="13">
        <f>IF(OR(A5="",B5=""),"",SUMIFS(Diario!$K$2:$K$301,Diario!$B$2:$B$301,$B5,Diario!$A$2:$A$301,"&gt;="&amp;$A5,Diario!$A$2:$A$301,"&lt;"&amp;$A5+7))</f>
        <v/>
      </c>
      <c r="K5" s="8">
        <f>IF(OR(D5="",B5=""),"",IFERROR(IF(INDEX(Cuentas!$J$2:$J$21,MATCH(B5,Cuentas!$A$2:$A$21,0))="","",D5-INDEX(Cuentas!$J$2:$J$21,MATCH(B5,Cuentas!$A$2:$A$21,0))),""))</f>
        <v/>
      </c>
      <c r="L5" s="6" t="n"/>
    </row>
    <row r="6">
      <c r="A6" s="12" t="n"/>
      <c r="B6" s="6" t="n"/>
      <c r="C6" s="7" t="n"/>
      <c r="D6" s="7" t="n"/>
      <c r="E6" s="8">
        <f>IF(OR(C6="",D6=""),"",D6-C6)</f>
        <v/>
      </c>
      <c r="F6" s="9">
        <f>IF(OR(C6="",D6="",C6=0),"",E6/C6)</f>
        <v/>
      </c>
      <c r="G6" s="14">
        <f>IF(OR(A6="",B6=""),"",COUNTIFS(Diario!$B$2:$B$301,$B6,Diario!$A$2:$A$301,"&gt;="&amp;$A6,Diario!$A$2:$A$301,"&lt;"&amp;$A6+7))</f>
        <v/>
      </c>
      <c r="H6" s="14">
        <f>IF(OR(A6="",B6=""),"",COUNTIFS(Diario!$B$2:$B$301,$B6,Diario!$A$2:$A$301,"&gt;="&amp;$A6,Diario!$A$2:$A$301,"&lt;"&amp;$A6+7,Diario!$I$2:$I$301,"&gt;0"))</f>
        <v/>
      </c>
      <c r="I6" s="9">
        <f>IF(OR(G6="",G6=0),"",H6/G6)</f>
        <v/>
      </c>
      <c r="J6" s="13">
        <f>IF(OR(A6="",B6=""),"",SUMIFS(Diario!$K$2:$K$301,Diario!$B$2:$B$301,$B6,Diario!$A$2:$A$301,"&gt;="&amp;$A6,Diario!$A$2:$A$301,"&lt;"&amp;$A6+7))</f>
        <v/>
      </c>
      <c r="K6" s="8">
        <f>IF(OR(D6="",B6=""),"",IFERROR(IF(INDEX(Cuentas!$J$2:$J$21,MATCH(B6,Cuentas!$A$2:$A$21,0))="","",D6-INDEX(Cuentas!$J$2:$J$21,MATCH(B6,Cuentas!$A$2:$A$21,0))),""))</f>
        <v/>
      </c>
      <c r="L6" s="6" t="n"/>
    </row>
    <row r="7">
      <c r="A7" s="12" t="n"/>
      <c r="B7" s="6" t="n"/>
      <c r="C7" s="7" t="n"/>
      <c r="D7" s="7" t="n"/>
      <c r="E7" s="8">
        <f>IF(OR(C7="",D7=""),"",D7-C7)</f>
        <v/>
      </c>
      <c r="F7" s="9">
        <f>IF(OR(C7="",D7="",C7=0),"",E7/C7)</f>
        <v/>
      </c>
      <c r="G7" s="14">
        <f>IF(OR(A7="",B7=""),"",COUNTIFS(Diario!$B$2:$B$301,$B7,Diario!$A$2:$A$301,"&gt;="&amp;$A7,Diario!$A$2:$A$301,"&lt;"&amp;$A7+7))</f>
        <v/>
      </c>
      <c r="H7" s="14">
        <f>IF(OR(A7="",B7=""),"",COUNTIFS(Diario!$B$2:$B$301,$B7,Diario!$A$2:$A$301,"&gt;="&amp;$A7,Diario!$A$2:$A$301,"&lt;"&amp;$A7+7,Diario!$I$2:$I$301,"&gt;0"))</f>
        <v/>
      </c>
      <c r="I7" s="9">
        <f>IF(OR(G7="",G7=0),"",H7/G7)</f>
        <v/>
      </c>
      <c r="J7" s="13">
        <f>IF(OR(A7="",B7=""),"",SUMIFS(Diario!$K$2:$K$301,Diario!$B$2:$B$301,$B7,Diario!$A$2:$A$301,"&gt;="&amp;$A7,Diario!$A$2:$A$301,"&lt;"&amp;$A7+7))</f>
        <v/>
      </c>
      <c r="K7" s="8">
        <f>IF(OR(D7="",B7=""),"",IFERROR(IF(INDEX(Cuentas!$J$2:$J$21,MATCH(B7,Cuentas!$A$2:$A$21,0))="","",D7-INDEX(Cuentas!$J$2:$J$21,MATCH(B7,Cuentas!$A$2:$A$21,0))),""))</f>
        <v/>
      </c>
      <c r="L7" s="6" t="n"/>
    </row>
    <row r="8">
      <c r="A8" s="12" t="n"/>
      <c r="B8" s="6" t="n"/>
      <c r="C8" s="7" t="n"/>
      <c r="D8" s="7" t="n"/>
      <c r="E8" s="8">
        <f>IF(OR(C8="",D8=""),"",D8-C8)</f>
        <v/>
      </c>
      <c r="F8" s="9">
        <f>IF(OR(C8="",D8="",C8=0),"",E8/C8)</f>
        <v/>
      </c>
      <c r="G8" s="14">
        <f>IF(OR(A8="",B8=""),"",COUNTIFS(Diario!$B$2:$B$301,$B8,Diario!$A$2:$A$301,"&gt;="&amp;$A8,Diario!$A$2:$A$301,"&lt;"&amp;$A8+7))</f>
        <v/>
      </c>
      <c r="H8" s="14">
        <f>IF(OR(A8="",B8=""),"",COUNTIFS(Diario!$B$2:$B$301,$B8,Diario!$A$2:$A$301,"&gt;="&amp;$A8,Diario!$A$2:$A$301,"&lt;"&amp;$A8+7,Diario!$I$2:$I$301,"&gt;0"))</f>
        <v/>
      </c>
      <c r="I8" s="9">
        <f>IF(OR(G8="",G8=0),"",H8/G8)</f>
        <v/>
      </c>
      <c r="J8" s="13">
        <f>IF(OR(A8="",B8=""),"",SUMIFS(Diario!$K$2:$K$301,Diario!$B$2:$B$301,$B8,Diario!$A$2:$A$301,"&gt;="&amp;$A8,Diario!$A$2:$A$301,"&lt;"&amp;$A8+7))</f>
        <v/>
      </c>
      <c r="K8" s="8">
        <f>IF(OR(D8="",B8=""),"",IFERROR(IF(INDEX(Cuentas!$J$2:$J$21,MATCH(B8,Cuentas!$A$2:$A$21,0))="","",D8-INDEX(Cuentas!$J$2:$J$21,MATCH(B8,Cuentas!$A$2:$A$21,0))),""))</f>
        <v/>
      </c>
      <c r="L8" s="6" t="n"/>
    </row>
    <row r="9">
      <c r="A9" s="12" t="n"/>
      <c r="B9" s="6" t="n"/>
      <c r="C9" s="7" t="n"/>
      <c r="D9" s="7" t="n"/>
      <c r="E9" s="8">
        <f>IF(OR(C9="",D9=""),"",D9-C9)</f>
        <v/>
      </c>
      <c r="F9" s="9">
        <f>IF(OR(C9="",D9="",C9=0),"",E9/C9)</f>
        <v/>
      </c>
      <c r="G9" s="14">
        <f>IF(OR(A9="",B9=""),"",COUNTIFS(Diario!$B$2:$B$301,$B9,Diario!$A$2:$A$301,"&gt;="&amp;$A9,Diario!$A$2:$A$301,"&lt;"&amp;$A9+7))</f>
        <v/>
      </c>
      <c r="H9" s="14">
        <f>IF(OR(A9="",B9=""),"",COUNTIFS(Diario!$B$2:$B$301,$B9,Diario!$A$2:$A$301,"&gt;="&amp;$A9,Diario!$A$2:$A$301,"&lt;"&amp;$A9+7,Diario!$I$2:$I$301,"&gt;0"))</f>
        <v/>
      </c>
      <c r="I9" s="9">
        <f>IF(OR(G9="",G9=0),"",H9/G9)</f>
        <v/>
      </c>
      <c r="J9" s="13">
        <f>IF(OR(A9="",B9=""),"",SUMIFS(Diario!$K$2:$K$301,Diario!$B$2:$B$301,$B9,Diario!$A$2:$A$301,"&gt;="&amp;$A9,Diario!$A$2:$A$301,"&lt;"&amp;$A9+7))</f>
        <v/>
      </c>
      <c r="K9" s="8">
        <f>IF(OR(D9="",B9=""),"",IFERROR(IF(INDEX(Cuentas!$J$2:$J$21,MATCH(B9,Cuentas!$A$2:$A$21,0))="","",D9-INDEX(Cuentas!$J$2:$J$21,MATCH(B9,Cuentas!$A$2:$A$21,0))),""))</f>
        <v/>
      </c>
      <c r="L9" s="6" t="n"/>
    </row>
    <row r="10">
      <c r="A10" s="12" t="n"/>
      <c r="B10" s="6" t="n"/>
      <c r="C10" s="7" t="n"/>
      <c r="D10" s="7" t="n"/>
      <c r="E10" s="8">
        <f>IF(OR(C10="",D10=""),"",D10-C10)</f>
        <v/>
      </c>
      <c r="F10" s="9">
        <f>IF(OR(C10="",D10="",C10=0),"",E10/C10)</f>
        <v/>
      </c>
      <c r="G10" s="14">
        <f>IF(OR(A10="",B10=""),"",COUNTIFS(Diario!$B$2:$B$301,$B10,Diario!$A$2:$A$301,"&gt;="&amp;$A10,Diario!$A$2:$A$301,"&lt;"&amp;$A10+7))</f>
        <v/>
      </c>
      <c r="H10" s="14">
        <f>IF(OR(A10="",B10=""),"",COUNTIFS(Diario!$B$2:$B$301,$B10,Diario!$A$2:$A$301,"&gt;="&amp;$A10,Diario!$A$2:$A$301,"&lt;"&amp;$A10+7,Diario!$I$2:$I$301,"&gt;0"))</f>
        <v/>
      </c>
      <c r="I10" s="9">
        <f>IF(OR(G10="",G10=0),"",H10/G10)</f>
        <v/>
      </c>
      <c r="J10" s="13">
        <f>IF(OR(A10="",B10=""),"",SUMIFS(Diario!$K$2:$K$301,Diario!$B$2:$B$301,$B10,Diario!$A$2:$A$301,"&gt;="&amp;$A10,Diario!$A$2:$A$301,"&lt;"&amp;$A10+7))</f>
        <v/>
      </c>
      <c r="K10" s="8">
        <f>IF(OR(D10="",B10=""),"",IFERROR(IF(INDEX(Cuentas!$J$2:$J$21,MATCH(B10,Cuentas!$A$2:$A$21,0))="","",D10-INDEX(Cuentas!$J$2:$J$21,MATCH(B10,Cuentas!$A$2:$A$21,0))),""))</f>
        <v/>
      </c>
      <c r="L10" s="6" t="n"/>
    </row>
    <row r="11">
      <c r="A11" s="12" t="n"/>
      <c r="B11" s="6" t="n"/>
      <c r="C11" s="7" t="n"/>
      <c r="D11" s="7" t="n"/>
      <c r="E11" s="8">
        <f>IF(OR(C11="",D11=""),"",D11-C11)</f>
        <v/>
      </c>
      <c r="F11" s="9">
        <f>IF(OR(C11="",D11="",C11=0),"",E11/C11)</f>
        <v/>
      </c>
      <c r="G11" s="14">
        <f>IF(OR(A11="",B11=""),"",COUNTIFS(Diario!$B$2:$B$301,$B11,Diario!$A$2:$A$301,"&gt;="&amp;$A11,Diario!$A$2:$A$301,"&lt;"&amp;$A11+7))</f>
        <v/>
      </c>
      <c r="H11" s="14">
        <f>IF(OR(A11="",B11=""),"",COUNTIFS(Diario!$B$2:$B$301,$B11,Diario!$A$2:$A$301,"&gt;="&amp;$A11,Diario!$A$2:$A$301,"&lt;"&amp;$A11+7,Diario!$I$2:$I$301,"&gt;0"))</f>
        <v/>
      </c>
      <c r="I11" s="9">
        <f>IF(OR(G11="",G11=0),"",H11/G11)</f>
        <v/>
      </c>
      <c r="J11" s="13">
        <f>IF(OR(A11="",B11=""),"",SUMIFS(Diario!$K$2:$K$301,Diario!$B$2:$B$301,$B11,Diario!$A$2:$A$301,"&gt;="&amp;$A11,Diario!$A$2:$A$301,"&lt;"&amp;$A11+7))</f>
        <v/>
      </c>
      <c r="K11" s="8">
        <f>IF(OR(D11="",B11=""),"",IFERROR(IF(INDEX(Cuentas!$J$2:$J$21,MATCH(B11,Cuentas!$A$2:$A$21,0))="","",D11-INDEX(Cuentas!$J$2:$J$21,MATCH(B11,Cuentas!$A$2:$A$21,0))),""))</f>
        <v/>
      </c>
      <c r="L11" s="6" t="n"/>
    </row>
    <row r="12">
      <c r="A12" s="12" t="n"/>
      <c r="B12" s="6" t="n"/>
      <c r="C12" s="7" t="n"/>
      <c r="D12" s="7" t="n"/>
      <c r="E12" s="8">
        <f>IF(OR(C12="",D12=""),"",D12-C12)</f>
        <v/>
      </c>
      <c r="F12" s="9">
        <f>IF(OR(C12="",D12="",C12=0),"",E12/C12)</f>
        <v/>
      </c>
      <c r="G12" s="14">
        <f>IF(OR(A12="",B12=""),"",COUNTIFS(Diario!$B$2:$B$301,$B12,Diario!$A$2:$A$301,"&gt;="&amp;$A12,Diario!$A$2:$A$301,"&lt;"&amp;$A12+7))</f>
        <v/>
      </c>
      <c r="H12" s="14">
        <f>IF(OR(A12="",B12=""),"",COUNTIFS(Diario!$B$2:$B$301,$B12,Diario!$A$2:$A$301,"&gt;="&amp;$A12,Diario!$A$2:$A$301,"&lt;"&amp;$A12+7,Diario!$I$2:$I$301,"&gt;0"))</f>
        <v/>
      </c>
      <c r="I12" s="9">
        <f>IF(OR(G12="",G12=0),"",H12/G12)</f>
        <v/>
      </c>
      <c r="J12" s="13">
        <f>IF(OR(A12="",B12=""),"",SUMIFS(Diario!$K$2:$K$301,Diario!$B$2:$B$301,$B12,Diario!$A$2:$A$301,"&gt;="&amp;$A12,Diario!$A$2:$A$301,"&lt;"&amp;$A12+7))</f>
        <v/>
      </c>
      <c r="K12" s="8">
        <f>IF(OR(D12="",B12=""),"",IFERROR(IF(INDEX(Cuentas!$J$2:$J$21,MATCH(B12,Cuentas!$A$2:$A$21,0))="","",D12-INDEX(Cuentas!$J$2:$J$21,MATCH(B12,Cuentas!$A$2:$A$21,0))),""))</f>
        <v/>
      </c>
      <c r="L12" s="6" t="n"/>
    </row>
    <row r="13">
      <c r="A13" s="12" t="n"/>
      <c r="B13" s="6" t="n"/>
      <c r="C13" s="7" t="n"/>
      <c r="D13" s="7" t="n"/>
      <c r="E13" s="8">
        <f>IF(OR(C13="",D13=""),"",D13-C13)</f>
        <v/>
      </c>
      <c r="F13" s="9">
        <f>IF(OR(C13="",D13="",C13=0),"",E13/C13)</f>
        <v/>
      </c>
      <c r="G13" s="14">
        <f>IF(OR(A13="",B13=""),"",COUNTIFS(Diario!$B$2:$B$301,$B13,Diario!$A$2:$A$301,"&gt;="&amp;$A13,Diario!$A$2:$A$301,"&lt;"&amp;$A13+7))</f>
        <v/>
      </c>
      <c r="H13" s="14">
        <f>IF(OR(A13="",B13=""),"",COUNTIFS(Diario!$B$2:$B$301,$B13,Diario!$A$2:$A$301,"&gt;="&amp;$A13,Diario!$A$2:$A$301,"&lt;"&amp;$A13+7,Diario!$I$2:$I$301,"&gt;0"))</f>
        <v/>
      </c>
      <c r="I13" s="9">
        <f>IF(OR(G13="",G13=0),"",H13/G13)</f>
        <v/>
      </c>
      <c r="J13" s="13">
        <f>IF(OR(A13="",B13=""),"",SUMIFS(Diario!$K$2:$K$301,Diario!$B$2:$B$301,$B13,Diario!$A$2:$A$301,"&gt;="&amp;$A13,Diario!$A$2:$A$301,"&lt;"&amp;$A13+7))</f>
        <v/>
      </c>
      <c r="K13" s="8">
        <f>IF(OR(D13="",B13=""),"",IFERROR(IF(INDEX(Cuentas!$J$2:$J$21,MATCH(B13,Cuentas!$A$2:$A$21,0))="","",D13-INDEX(Cuentas!$J$2:$J$21,MATCH(B13,Cuentas!$A$2:$A$21,0))),""))</f>
        <v/>
      </c>
      <c r="L13" s="6" t="n"/>
    </row>
    <row r="14">
      <c r="A14" s="12" t="n"/>
      <c r="B14" s="6" t="n"/>
      <c r="C14" s="7" t="n"/>
      <c r="D14" s="7" t="n"/>
      <c r="E14" s="8">
        <f>IF(OR(C14="",D14=""),"",D14-C14)</f>
        <v/>
      </c>
      <c r="F14" s="9">
        <f>IF(OR(C14="",D14="",C14=0),"",E14/C14)</f>
        <v/>
      </c>
      <c r="G14" s="14">
        <f>IF(OR(A14="",B14=""),"",COUNTIFS(Diario!$B$2:$B$301,$B14,Diario!$A$2:$A$301,"&gt;="&amp;$A14,Diario!$A$2:$A$301,"&lt;"&amp;$A14+7))</f>
        <v/>
      </c>
      <c r="H14" s="14">
        <f>IF(OR(A14="",B14=""),"",COUNTIFS(Diario!$B$2:$B$301,$B14,Diario!$A$2:$A$301,"&gt;="&amp;$A14,Diario!$A$2:$A$301,"&lt;"&amp;$A14+7,Diario!$I$2:$I$301,"&gt;0"))</f>
        <v/>
      </c>
      <c r="I14" s="9">
        <f>IF(OR(G14="",G14=0),"",H14/G14)</f>
        <v/>
      </c>
      <c r="J14" s="13">
        <f>IF(OR(A14="",B14=""),"",SUMIFS(Diario!$K$2:$K$301,Diario!$B$2:$B$301,$B14,Diario!$A$2:$A$301,"&gt;="&amp;$A14,Diario!$A$2:$A$301,"&lt;"&amp;$A14+7))</f>
        <v/>
      </c>
      <c r="K14" s="8">
        <f>IF(OR(D14="",B14=""),"",IFERROR(IF(INDEX(Cuentas!$J$2:$J$21,MATCH(B14,Cuentas!$A$2:$A$21,0))="","",D14-INDEX(Cuentas!$J$2:$J$21,MATCH(B14,Cuentas!$A$2:$A$21,0))),""))</f>
        <v/>
      </c>
      <c r="L14" s="6" t="n"/>
    </row>
    <row r="15">
      <c r="A15" s="12" t="n"/>
      <c r="B15" s="6" t="n"/>
      <c r="C15" s="7" t="n"/>
      <c r="D15" s="7" t="n"/>
      <c r="E15" s="8">
        <f>IF(OR(C15="",D15=""),"",D15-C15)</f>
        <v/>
      </c>
      <c r="F15" s="9">
        <f>IF(OR(C15="",D15="",C15=0),"",E15/C15)</f>
        <v/>
      </c>
      <c r="G15" s="14">
        <f>IF(OR(A15="",B15=""),"",COUNTIFS(Diario!$B$2:$B$301,$B15,Diario!$A$2:$A$301,"&gt;="&amp;$A15,Diario!$A$2:$A$301,"&lt;"&amp;$A15+7))</f>
        <v/>
      </c>
      <c r="H15" s="14">
        <f>IF(OR(A15="",B15=""),"",COUNTIFS(Diario!$B$2:$B$301,$B15,Diario!$A$2:$A$301,"&gt;="&amp;$A15,Diario!$A$2:$A$301,"&lt;"&amp;$A15+7,Diario!$I$2:$I$301,"&gt;0"))</f>
        <v/>
      </c>
      <c r="I15" s="9">
        <f>IF(OR(G15="",G15=0),"",H15/G15)</f>
        <v/>
      </c>
      <c r="J15" s="13">
        <f>IF(OR(A15="",B15=""),"",SUMIFS(Diario!$K$2:$K$301,Diario!$B$2:$B$301,$B15,Diario!$A$2:$A$301,"&gt;="&amp;$A15,Diario!$A$2:$A$301,"&lt;"&amp;$A15+7))</f>
        <v/>
      </c>
      <c r="K15" s="8">
        <f>IF(OR(D15="",B15=""),"",IFERROR(IF(INDEX(Cuentas!$J$2:$J$21,MATCH(B15,Cuentas!$A$2:$A$21,0))="","",D15-INDEX(Cuentas!$J$2:$J$21,MATCH(B15,Cuentas!$A$2:$A$21,0))),""))</f>
        <v/>
      </c>
      <c r="L15" s="6" t="n"/>
    </row>
    <row r="16">
      <c r="A16" s="12" t="n"/>
      <c r="B16" s="6" t="n"/>
      <c r="C16" s="7" t="n"/>
      <c r="D16" s="7" t="n"/>
      <c r="E16" s="8">
        <f>IF(OR(C16="",D16=""),"",D16-C16)</f>
        <v/>
      </c>
      <c r="F16" s="9">
        <f>IF(OR(C16="",D16="",C16=0),"",E16/C16)</f>
        <v/>
      </c>
      <c r="G16" s="14">
        <f>IF(OR(A16="",B16=""),"",COUNTIFS(Diario!$B$2:$B$301,$B16,Diario!$A$2:$A$301,"&gt;="&amp;$A16,Diario!$A$2:$A$301,"&lt;"&amp;$A16+7))</f>
        <v/>
      </c>
      <c r="H16" s="14">
        <f>IF(OR(A16="",B16=""),"",COUNTIFS(Diario!$B$2:$B$301,$B16,Diario!$A$2:$A$301,"&gt;="&amp;$A16,Diario!$A$2:$A$301,"&lt;"&amp;$A16+7,Diario!$I$2:$I$301,"&gt;0"))</f>
        <v/>
      </c>
      <c r="I16" s="9">
        <f>IF(OR(G16="",G16=0),"",H16/G16)</f>
        <v/>
      </c>
      <c r="J16" s="13">
        <f>IF(OR(A16="",B16=""),"",SUMIFS(Diario!$K$2:$K$301,Diario!$B$2:$B$301,$B16,Diario!$A$2:$A$301,"&gt;="&amp;$A16,Diario!$A$2:$A$301,"&lt;"&amp;$A16+7))</f>
        <v/>
      </c>
      <c r="K16" s="8">
        <f>IF(OR(D16="",B16=""),"",IFERROR(IF(INDEX(Cuentas!$J$2:$J$21,MATCH(B16,Cuentas!$A$2:$A$21,0))="","",D16-INDEX(Cuentas!$J$2:$J$21,MATCH(B16,Cuentas!$A$2:$A$21,0))),""))</f>
        <v/>
      </c>
      <c r="L16" s="6" t="n"/>
    </row>
    <row r="17">
      <c r="A17" s="12" t="n"/>
      <c r="B17" s="6" t="n"/>
      <c r="C17" s="7" t="n"/>
      <c r="D17" s="7" t="n"/>
      <c r="E17" s="8">
        <f>IF(OR(C17="",D17=""),"",D17-C17)</f>
        <v/>
      </c>
      <c r="F17" s="9">
        <f>IF(OR(C17="",D17="",C17=0),"",E17/C17)</f>
        <v/>
      </c>
      <c r="G17" s="14">
        <f>IF(OR(A17="",B17=""),"",COUNTIFS(Diario!$B$2:$B$301,$B17,Diario!$A$2:$A$301,"&gt;="&amp;$A17,Diario!$A$2:$A$301,"&lt;"&amp;$A17+7))</f>
        <v/>
      </c>
      <c r="H17" s="14">
        <f>IF(OR(A17="",B17=""),"",COUNTIFS(Diario!$B$2:$B$301,$B17,Diario!$A$2:$A$301,"&gt;="&amp;$A17,Diario!$A$2:$A$301,"&lt;"&amp;$A17+7,Diario!$I$2:$I$301,"&gt;0"))</f>
        <v/>
      </c>
      <c r="I17" s="9">
        <f>IF(OR(G17="",G17=0),"",H17/G17)</f>
        <v/>
      </c>
      <c r="J17" s="13">
        <f>IF(OR(A17="",B17=""),"",SUMIFS(Diario!$K$2:$K$301,Diario!$B$2:$B$301,$B17,Diario!$A$2:$A$301,"&gt;="&amp;$A17,Diario!$A$2:$A$301,"&lt;"&amp;$A17+7))</f>
        <v/>
      </c>
      <c r="K17" s="8">
        <f>IF(OR(D17="",B17=""),"",IFERROR(IF(INDEX(Cuentas!$J$2:$J$21,MATCH(B17,Cuentas!$A$2:$A$21,0))="","",D17-INDEX(Cuentas!$J$2:$J$21,MATCH(B17,Cuentas!$A$2:$A$21,0))),""))</f>
        <v/>
      </c>
      <c r="L17" s="6" t="n"/>
    </row>
    <row r="18">
      <c r="A18" s="12" t="n"/>
      <c r="B18" s="6" t="n"/>
      <c r="C18" s="7" t="n"/>
      <c r="D18" s="7" t="n"/>
      <c r="E18" s="8">
        <f>IF(OR(C18="",D18=""),"",D18-C18)</f>
        <v/>
      </c>
      <c r="F18" s="9">
        <f>IF(OR(C18="",D18="",C18=0),"",E18/C18)</f>
        <v/>
      </c>
      <c r="G18" s="14">
        <f>IF(OR(A18="",B18=""),"",COUNTIFS(Diario!$B$2:$B$301,$B18,Diario!$A$2:$A$301,"&gt;="&amp;$A18,Diario!$A$2:$A$301,"&lt;"&amp;$A18+7))</f>
        <v/>
      </c>
      <c r="H18" s="14">
        <f>IF(OR(A18="",B18=""),"",COUNTIFS(Diario!$B$2:$B$301,$B18,Diario!$A$2:$A$301,"&gt;="&amp;$A18,Diario!$A$2:$A$301,"&lt;"&amp;$A18+7,Diario!$I$2:$I$301,"&gt;0"))</f>
        <v/>
      </c>
      <c r="I18" s="9">
        <f>IF(OR(G18="",G18=0),"",H18/G18)</f>
        <v/>
      </c>
      <c r="J18" s="13">
        <f>IF(OR(A18="",B18=""),"",SUMIFS(Diario!$K$2:$K$301,Diario!$B$2:$B$301,$B18,Diario!$A$2:$A$301,"&gt;="&amp;$A18,Diario!$A$2:$A$301,"&lt;"&amp;$A18+7))</f>
        <v/>
      </c>
      <c r="K18" s="8">
        <f>IF(OR(D18="",B18=""),"",IFERROR(IF(INDEX(Cuentas!$J$2:$J$21,MATCH(B18,Cuentas!$A$2:$A$21,0))="","",D18-INDEX(Cuentas!$J$2:$J$21,MATCH(B18,Cuentas!$A$2:$A$21,0))),""))</f>
        <v/>
      </c>
      <c r="L18" s="6" t="n"/>
    </row>
    <row r="19">
      <c r="A19" s="12" t="n"/>
      <c r="B19" s="6" t="n"/>
      <c r="C19" s="7" t="n"/>
      <c r="D19" s="7" t="n"/>
      <c r="E19" s="8">
        <f>IF(OR(C19="",D19=""),"",D19-C19)</f>
        <v/>
      </c>
      <c r="F19" s="9">
        <f>IF(OR(C19="",D19="",C19=0),"",E19/C19)</f>
        <v/>
      </c>
      <c r="G19" s="14">
        <f>IF(OR(A19="",B19=""),"",COUNTIFS(Diario!$B$2:$B$301,$B19,Diario!$A$2:$A$301,"&gt;="&amp;$A19,Diario!$A$2:$A$301,"&lt;"&amp;$A19+7))</f>
        <v/>
      </c>
      <c r="H19" s="14">
        <f>IF(OR(A19="",B19=""),"",COUNTIFS(Diario!$B$2:$B$301,$B19,Diario!$A$2:$A$301,"&gt;="&amp;$A19,Diario!$A$2:$A$301,"&lt;"&amp;$A19+7,Diario!$I$2:$I$301,"&gt;0"))</f>
        <v/>
      </c>
      <c r="I19" s="9">
        <f>IF(OR(G19="",G19=0),"",H19/G19)</f>
        <v/>
      </c>
      <c r="J19" s="13">
        <f>IF(OR(A19="",B19=""),"",SUMIFS(Diario!$K$2:$K$301,Diario!$B$2:$B$301,$B19,Diario!$A$2:$A$301,"&gt;="&amp;$A19,Diario!$A$2:$A$301,"&lt;"&amp;$A19+7))</f>
        <v/>
      </c>
      <c r="K19" s="8">
        <f>IF(OR(D19="",B19=""),"",IFERROR(IF(INDEX(Cuentas!$J$2:$J$21,MATCH(B19,Cuentas!$A$2:$A$21,0))="","",D19-INDEX(Cuentas!$J$2:$J$21,MATCH(B19,Cuentas!$A$2:$A$21,0))),""))</f>
        <v/>
      </c>
      <c r="L19" s="6" t="n"/>
    </row>
    <row r="20">
      <c r="A20" s="12" t="n"/>
      <c r="B20" s="6" t="n"/>
      <c r="C20" s="7" t="n"/>
      <c r="D20" s="7" t="n"/>
      <c r="E20" s="8">
        <f>IF(OR(C20="",D20=""),"",D20-C20)</f>
        <v/>
      </c>
      <c r="F20" s="9">
        <f>IF(OR(C20="",D20="",C20=0),"",E20/C20)</f>
        <v/>
      </c>
      <c r="G20" s="14">
        <f>IF(OR(A20="",B20=""),"",COUNTIFS(Diario!$B$2:$B$301,$B20,Diario!$A$2:$A$301,"&gt;="&amp;$A20,Diario!$A$2:$A$301,"&lt;"&amp;$A20+7))</f>
        <v/>
      </c>
      <c r="H20" s="14">
        <f>IF(OR(A20="",B20=""),"",COUNTIFS(Diario!$B$2:$B$301,$B20,Diario!$A$2:$A$301,"&gt;="&amp;$A20,Diario!$A$2:$A$301,"&lt;"&amp;$A20+7,Diario!$I$2:$I$301,"&gt;0"))</f>
        <v/>
      </c>
      <c r="I20" s="9">
        <f>IF(OR(G20="",G20=0),"",H20/G20)</f>
        <v/>
      </c>
      <c r="J20" s="13">
        <f>IF(OR(A20="",B20=""),"",SUMIFS(Diario!$K$2:$K$301,Diario!$B$2:$B$301,$B20,Diario!$A$2:$A$301,"&gt;="&amp;$A20,Diario!$A$2:$A$301,"&lt;"&amp;$A20+7))</f>
        <v/>
      </c>
      <c r="K20" s="8">
        <f>IF(OR(D20="",B20=""),"",IFERROR(IF(INDEX(Cuentas!$J$2:$J$21,MATCH(B20,Cuentas!$A$2:$A$21,0))="","",D20-INDEX(Cuentas!$J$2:$J$21,MATCH(B20,Cuentas!$A$2:$A$21,0))),""))</f>
        <v/>
      </c>
      <c r="L20" s="6" t="n"/>
    </row>
    <row r="21">
      <c r="A21" s="12" t="n"/>
      <c r="B21" s="6" t="n"/>
      <c r="C21" s="7" t="n"/>
      <c r="D21" s="7" t="n"/>
      <c r="E21" s="8">
        <f>IF(OR(C21="",D21=""),"",D21-C21)</f>
        <v/>
      </c>
      <c r="F21" s="9">
        <f>IF(OR(C21="",D21="",C21=0),"",E21/C21)</f>
        <v/>
      </c>
      <c r="G21" s="14">
        <f>IF(OR(A21="",B21=""),"",COUNTIFS(Diario!$B$2:$B$301,$B21,Diario!$A$2:$A$301,"&gt;="&amp;$A21,Diario!$A$2:$A$301,"&lt;"&amp;$A21+7))</f>
        <v/>
      </c>
      <c r="H21" s="14">
        <f>IF(OR(A21="",B21=""),"",COUNTIFS(Diario!$B$2:$B$301,$B21,Diario!$A$2:$A$301,"&gt;="&amp;$A21,Diario!$A$2:$A$301,"&lt;"&amp;$A21+7,Diario!$I$2:$I$301,"&gt;0"))</f>
        <v/>
      </c>
      <c r="I21" s="9">
        <f>IF(OR(G21="",G21=0),"",H21/G21)</f>
        <v/>
      </c>
      <c r="J21" s="13">
        <f>IF(OR(A21="",B21=""),"",SUMIFS(Diario!$K$2:$K$301,Diario!$B$2:$B$301,$B21,Diario!$A$2:$A$301,"&gt;="&amp;$A21,Diario!$A$2:$A$301,"&lt;"&amp;$A21+7))</f>
        <v/>
      </c>
      <c r="K21" s="8">
        <f>IF(OR(D21="",B21=""),"",IFERROR(IF(INDEX(Cuentas!$J$2:$J$21,MATCH(B21,Cuentas!$A$2:$A$21,0))="","",D21-INDEX(Cuentas!$J$2:$J$21,MATCH(B21,Cuentas!$A$2:$A$21,0))),""))</f>
        <v/>
      </c>
      <c r="L21" s="6" t="n"/>
    </row>
    <row r="22">
      <c r="A22" s="12" t="n"/>
      <c r="B22" s="6" t="n"/>
      <c r="C22" s="7" t="n"/>
      <c r="D22" s="7" t="n"/>
      <c r="E22" s="8">
        <f>IF(OR(C22="",D22=""),"",D22-C22)</f>
        <v/>
      </c>
      <c r="F22" s="9">
        <f>IF(OR(C22="",D22="",C22=0),"",E22/C22)</f>
        <v/>
      </c>
      <c r="G22" s="14">
        <f>IF(OR(A22="",B22=""),"",COUNTIFS(Diario!$B$2:$B$301,$B22,Diario!$A$2:$A$301,"&gt;="&amp;$A22,Diario!$A$2:$A$301,"&lt;"&amp;$A22+7))</f>
        <v/>
      </c>
      <c r="H22" s="14">
        <f>IF(OR(A22="",B22=""),"",COUNTIFS(Diario!$B$2:$B$301,$B22,Diario!$A$2:$A$301,"&gt;="&amp;$A22,Diario!$A$2:$A$301,"&lt;"&amp;$A22+7,Diario!$I$2:$I$301,"&gt;0"))</f>
        <v/>
      </c>
      <c r="I22" s="9">
        <f>IF(OR(G22="",G22=0),"",H22/G22)</f>
        <v/>
      </c>
      <c r="J22" s="13">
        <f>IF(OR(A22="",B22=""),"",SUMIFS(Diario!$K$2:$K$301,Diario!$B$2:$B$301,$B22,Diario!$A$2:$A$301,"&gt;="&amp;$A22,Diario!$A$2:$A$301,"&lt;"&amp;$A22+7))</f>
        <v/>
      </c>
      <c r="K22" s="8">
        <f>IF(OR(D22="",B22=""),"",IFERROR(IF(INDEX(Cuentas!$J$2:$J$21,MATCH(B22,Cuentas!$A$2:$A$21,0))="","",D22-INDEX(Cuentas!$J$2:$J$21,MATCH(B22,Cuentas!$A$2:$A$21,0))),""))</f>
        <v/>
      </c>
      <c r="L22" s="6" t="n"/>
    </row>
    <row r="23">
      <c r="A23" s="12" t="n"/>
      <c r="B23" s="6" t="n"/>
      <c r="C23" s="7" t="n"/>
      <c r="D23" s="7" t="n"/>
      <c r="E23" s="8">
        <f>IF(OR(C23="",D23=""),"",D23-C23)</f>
        <v/>
      </c>
      <c r="F23" s="9">
        <f>IF(OR(C23="",D23="",C23=0),"",E23/C23)</f>
        <v/>
      </c>
      <c r="G23" s="14">
        <f>IF(OR(A23="",B23=""),"",COUNTIFS(Diario!$B$2:$B$301,$B23,Diario!$A$2:$A$301,"&gt;="&amp;$A23,Diario!$A$2:$A$301,"&lt;"&amp;$A23+7))</f>
        <v/>
      </c>
      <c r="H23" s="14">
        <f>IF(OR(A23="",B23=""),"",COUNTIFS(Diario!$B$2:$B$301,$B23,Diario!$A$2:$A$301,"&gt;="&amp;$A23,Diario!$A$2:$A$301,"&lt;"&amp;$A23+7,Diario!$I$2:$I$301,"&gt;0"))</f>
        <v/>
      </c>
      <c r="I23" s="9">
        <f>IF(OR(G23="",G23=0),"",H23/G23)</f>
        <v/>
      </c>
      <c r="J23" s="13">
        <f>IF(OR(A23="",B23=""),"",SUMIFS(Diario!$K$2:$K$301,Diario!$B$2:$B$301,$B23,Diario!$A$2:$A$301,"&gt;="&amp;$A23,Diario!$A$2:$A$301,"&lt;"&amp;$A23+7))</f>
        <v/>
      </c>
      <c r="K23" s="8">
        <f>IF(OR(D23="",B23=""),"",IFERROR(IF(INDEX(Cuentas!$J$2:$J$21,MATCH(B23,Cuentas!$A$2:$A$21,0))="","",D23-INDEX(Cuentas!$J$2:$J$21,MATCH(B23,Cuentas!$A$2:$A$21,0))),""))</f>
        <v/>
      </c>
      <c r="L23" s="6" t="n"/>
    </row>
    <row r="24">
      <c r="A24" s="12" t="n"/>
      <c r="B24" s="6" t="n"/>
      <c r="C24" s="7" t="n"/>
      <c r="D24" s="7" t="n"/>
      <c r="E24" s="8">
        <f>IF(OR(C24="",D24=""),"",D24-C24)</f>
        <v/>
      </c>
      <c r="F24" s="9">
        <f>IF(OR(C24="",D24="",C24=0),"",E24/C24)</f>
        <v/>
      </c>
      <c r="G24" s="14">
        <f>IF(OR(A24="",B24=""),"",COUNTIFS(Diario!$B$2:$B$301,$B24,Diario!$A$2:$A$301,"&gt;="&amp;$A24,Diario!$A$2:$A$301,"&lt;"&amp;$A24+7))</f>
        <v/>
      </c>
      <c r="H24" s="14">
        <f>IF(OR(A24="",B24=""),"",COUNTIFS(Diario!$B$2:$B$301,$B24,Diario!$A$2:$A$301,"&gt;="&amp;$A24,Diario!$A$2:$A$301,"&lt;"&amp;$A24+7,Diario!$I$2:$I$301,"&gt;0"))</f>
        <v/>
      </c>
      <c r="I24" s="9">
        <f>IF(OR(G24="",G24=0),"",H24/G24)</f>
        <v/>
      </c>
      <c r="J24" s="13">
        <f>IF(OR(A24="",B24=""),"",SUMIFS(Diario!$K$2:$K$301,Diario!$B$2:$B$301,$B24,Diario!$A$2:$A$301,"&gt;="&amp;$A24,Diario!$A$2:$A$301,"&lt;"&amp;$A24+7))</f>
        <v/>
      </c>
      <c r="K24" s="8">
        <f>IF(OR(D24="",B24=""),"",IFERROR(IF(INDEX(Cuentas!$J$2:$J$21,MATCH(B24,Cuentas!$A$2:$A$21,0))="","",D24-INDEX(Cuentas!$J$2:$J$21,MATCH(B24,Cuentas!$A$2:$A$21,0))),""))</f>
        <v/>
      </c>
      <c r="L24" s="6" t="n"/>
    </row>
    <row r="25">
      <c r="A25" s="12" t="n"/>
      <c r="B25" s="6" t="n"/>
      <c r="C25" s="7" t="n"/>
      <c r="D25" s="7" t="n"/>
      <c r="E25" s="8">
        <f>IF(OR(C25="",D25=""),"",D25-C25)</f>
        <v/>
      </c>
      <c r="F25" s="9">
        <f>IF(OR(C25="",D25="",C25=0),"",E25/C25)</f>
        <v/>
      </c>
      <c r="G25" s="14">
        <f>IF(OR(A25="",B25=""),"",COUNTIFS(Diario!$B$2:$B$301,$B25,Diario!$A$2:$A$301,"&gt;="&amp;$A25,Diario!$A$2:$A$301,"&lt;"&amp;$A25+7))</f>
        <v/>
      </c>
      <c r="H25" s="14">
        <f>IF(OR(A25="",B25=""),"",COUNTIFS(Diario!$B$2:$B$301,$B25,Diario!$A$2:$A$301,"&gt;="&amp;$A25,Diario!$A$2:$A$301,"&lt;"&amp;$A25+7,Diario!$I$2:$I$301,"&gt;0"))</f>
        <v/>
      </c>
      <c r="I25" s="9">
        <f>IF(OR(G25="",G25=0),"",H25/G25)</f>
        <v/>
      </c>
      <c r="J25" s="13">
        <f>IF(OR(A25="",B25=""),"",SUMIFS(Diario!$K$2:$K$301,Diario!$B$2:$B$301,$B25,Diario!$A$2:$A$301,"&gt;="&amp;$A25,Diario!$A$2:$A$301,"&lt;"&amp;$A25+7))</f>
        <v/>
      </c>
      <c r="K25" s="8">
        <f>IF(OR(D25="",B25=""),"",IFERROR(IF(INDEX(Cuentas!$J$2:$J$21,MATCH(B25,Cuentas!$A$2:$A$21,0))="","",D25-INDEX(Cuentas!$J$2:$J$21,MATCH(B25,Cuentas!$A$2:$A$21,0))),""))</f>
        <v/>
      </c>
      <c r="L25" s="6" t="n"/>
    </row>
    <row r="26">
      <c r="A26" s="12" t="n"/>
      <c r="B26" s="6" t="n"/>
      <c r="C26" s="7" t="n"/>
      <c r="D26" s="7" t="n"/>
      <c r="E26" s="8">
        <f>IF(OR(C26="",D26=""),"",D26-C26)</f>
        <v/>
      </c>
      <c r="F26" s="9">
        <f>IF(OR(C26="",D26="",C26=0),"",E26/C26)</f>
        <v/>
      </c>
      <c r="G26" s="14">
        <f>IF(OR(A26="",B26=""),"",COUNTIFS(Diario!$B$2:$B$301,$B26,Diario!$A$2:$A$301,"&gt;="&amp;$A26,Diario!$A$2:$A$301,"&lt;"&amp;$A26+7))</f>
        <v/>
      </c>
      <c r="H26" s="14">
        <f>IF(OR(A26="",B26=""),"",COUNTIFS(Diario!$B$2:$B$301,$B26,Diario!$A$2:$A$301,"&gt;="&amp;$A26,Diario!$A$2:$A$301,"&lt;"&amp;$A26+7,Diario!$I$2:$I$301,"&gt;0"))</f>
        <v/>
      </c>
      <c r="I26" s="9">
        <f>IF(OR(G26="",G26=0),"",H26/G26)</f>
        <v/>
      </c>
      <c r="J26" s="13">
        <f>IF(OR(A26="",B26=""),"",SUMIFS(Diario!$K$2:$K$301,Diario!$B$2:$B$301,$B26,Diario!$A$2:$A$301,"&gt;="&amp;$A26,Diario!$A$2:$A$301,"&lt;"&amp;$A26+7))</f>
        <v/>
      </c>
      <c r="K26" s="8">
        <f>IF(OR(D26="",B26=""),"",IFERROR(IF(INDEX(Cuentas!$J$2:$J$21,MATCH(B26,Cuentas!$A$2:$A$21,0))="","",D26-INDEX(Cuentas!$J$2:$J$21,MATCH(B26,Cuentas!$A$2:$A$21,0))),""))</f>
        <v/>
      </c>
      <c r="L26" s="6" t="n"/>
    </row>
    <row r="27">
      <c r="A27" s="12" t="n"/>
      <c r="B27" s="6" t="n"/>
      <c r="C27" s="7" t="n"/>
      <c r="D27" s="7" t="n"/>
      <c r="E27" s="8">
        <f>IF(OR(C27="",D27=""),"",D27-C27)</f>
        <v/>
      </c>
      <c r="F27" s="9">
        <f>IF(OR(C27="",D27="",C27=0),"",E27/C27)</f>
        <v/>
      </c>
      <c r="G27" s="14">
        <f>IF(OR(A27="",B27=""),"",COUNTIFS(Diario!$B$2:$B$301,$B27,Diario!$A$2:$A$301,"&gt;="&amp;$A27,Diario!$A$2:$A$301,"&lt;"&amp;$A27+7))</f>
        <v/>
      </c>
      <c r="H27" s="14">
        <f>IF(OR(A27="",B27=""),"",COUNTIFS(Diario!$B$2:$B$301,$B27,Diario!$A$2:$A$301,"&gt;="&amp;$A27,Diario!$A$2:$A$301,"&lt;"&amp;$A27+7,Diario!$I$2:$I$301,"&gt;0"))</f>
        <v/>
      </c>
      <c r="I27" s="9">
        <f>IF(OR(G27="",G27=0),"",H27/G27)</f>
        <v/>
      </c>
      <c r="J27" s="13">
        <f>IF(OR(A27="",B27=""),"",SUMIFS(Diario!$K$2:$K$301,Diario!$B$2:$B$301,$B27,Diario!$A$2:$A$301,"&gt;="&amp;$A27,Diario!$A$2:$A$301,"&lt;"&amp;$A27+7))</f>
        <v/>
      </c>
      <c r="K27" s="8">
        <f>IF(OR(D27="",B27=""),"",IFERROR(IF(INDEX(Cuentas!$J$2:$J$21,MATCH(B27,Cuentas!$A$2:$A$21,0))="","",D27-INDEX(Cuentas!$J$2:$J$21,MATCH(B27,Cuentas!$A$2:$A$21,0))),""))</f>
        <v/>
      </c>
      <c r="L27" s="6" t="n"/>
    </row>
    <row r="28">
      <c r="A28" s="12" t="n"/>
      <c r="B28" s="6" t="n"/>
      <c r="C28" s="7" t="n"/>
      <c r="D28" s="7" t="n"/>
      <c r="E28" s="8">
        <f>IF(OR(C28="",D28=""),"",D28-C28)</f>
        <v/>
      </c>
      <c r="F28" s="9">
        <f>IF(OR(C28="",D28="",C28=0),"",E28/C28)</f>
        <v/>
      </c>
      <c r="G28" s="14">
        <f>IF(OR(A28="",B28=""),"",COUNTIFS(Diario!$B$2:$B$301,$B28,Diario!$A$2:$A$301,"&gt;="&amp;$A28,Diario!$A$2:$A$301,"&lt;"&amp;$A28+7))</f>
        <v/>
      </c>
      <c r="H28" s="14">
        <f>IF(OR(A28="",B28=""),"",COUNTIFS(Diario!$B$2:$B$301,$B28,Diario!$A$2:$A$301,"&gt;="&amp;$A28,Diario!$A$2:$A$301,"&lt;"&amp;$A28+7,Diario!$I$2:$I$301,"&gt;0"))</f>
        <v/>
      </c>
      <c r="I28" s="9">
        <f>IF(OR(G28="",G28=0),"",H28/G28)</f>
        <v/>
      </c>
      <c r="J28" s="13">
        <f>IF(OR(A28="",B28=""),"",SUMIFS(Diario!$K$2:$K$301,Diario!$B$2:$B$301,$B28,Diario!$A$2:$A$301,"&gt;="&amp;$A28,Diario!$A$2:$A$301,"&lt;"&amp;$A28+7))</f>
        <v/>
      </c>
      <c r="K28" s="8">
        <f>IF(OR(D28="",B28=""),"",IFERROR(IF(INDEX(Cuentas!$J$2:$J$21,MATCH(B28,Cuentas!$A$2:$A$21,0))="","",D28-INDEX(Cuentas!$J$2:$J$21,MATCH(B28,Cuentas!$A$2:$A$21,0))),""))</f>
        <v/>
      </c>
      <c r="L28" s="6" t="n"/>
    </row>
    <row r="29">
      <c r="A29" s="12" t="n"/>
      <c r="B29" s="6" t="n"/>
      <c r="C29" s="7" t="n"/>
      <c r="D29" s="7" t="n"/>
      <c r="E29" s="8">
        <f>IF(OR(C29="",D29=""),"",D29-C29)</f>
        <v/>
      </c>
      <c r="F29" s="9">
        <f>IF(OR(C29="",D29="",C29=0),"",E29/C29)</f>
        <v/>
      </c>
      <c r="G29" s="14">
        <f>IF(OR(A29="",B29=""),"",COUNTIFS(Diario!$B$2:$B$301,$B29,Diario!$A$2:$A$301,"&gt;="&amp;$A29,Diario!$A$2:$A$301,"&lt;"&amp;$A29+7))</f>
        <v/>
      </c>
      <c r="H29" s="14">
        <f>IF(OR(A29="",B29=""),"",COUNTIFS(Diario!$B$2:$B$301,$B29,Diario!$A$2:$A$301,"&gt;="&amp;$A29,Diario!$A$2:$A$301,"&lt;"&amp;$A29+7,Diario!$I$2:$I$301,"&gt;0"))</f>
        <v/>
      </c>
      <c r="I29" s="9">
        <f>IF(OR(G29="",G29=0),"",H29/G29)</f>
        <v/>
      </c>
      <c r="J29" s="13">
        <f>IF(OR(A29="",B29=""),"",SUMIFS(Diario!$K$2:$K$301,Diario!$B$2:$B$301,$B29,Diario!$A$2:$A$301,"&gt;="&amp;$A29,Diario!$A$2:$A$301,"&lt;"&amp;$A29+7))</f>
        <v/>
      </c>
      <c r="K29" s="8">
        <f>IF(OR(D29="",B29=""),"",IFERROR(IF(INDEX(Cuentas!$J$2:$J$21,MATCH(B29,Cuentas!$A$2:$A$21,0))="","",D29-INDEX(Cuentas!$J$2:$J$21,MATCH(B29,Cuentas!$A$2:$A$21,0))),""))</f>
        <v/>
      </c>
      <c r="L29" s="6" t="n"/>
    </row>
    <row r="30">
      <c r="A30" s="12" t="n"/>
      <c r="B30" s="6" t="n"/>
      <c r="C30" s="7" t="n"/>
      <c r="D30" s="7" t="n"/>
      <c r="E30" s="8">
        <f>IF(OR(C30="",D30=""),"",D30-C30)</f>
        <v/>
      </c>
      <c r="F30" s="9">
        <f>IF(OR(C30="",D30="",C30=0),"",E30/C30)</f>
        <v/>
      </c>
      <c r="G30" s="14">
        <f>IF(OR(A30="",B30=""),"",COUNTIFS(Diario!$B$2:$B$301,$B30,Diario!$A$2:$A$301,"&gt;="&amp;$A30,Diario!$A$2:$A$301,"&lt;"&amp;$A30+7))</f>
        <v/>
      </c>
      <c r="H30" s="14">
        <f>IF(OR(A30="",B30=""),"",COUNTIFS(Diario!$B$2:$B$301,$B30,Diario!$A$2:$A$301,"&gt;="&amp;$A30,Diario!$A$2:$A$301,"&lt;"&amp;$A30+7,Diario!$I$2:$I$301,"&gt;0"))</f>
        <v/>
      </c>
      <c r="I30" s="9">
        <f>IF(OR(G30="",G30=0),"",H30/G30)</f>
        <v/>
      </c>
      <c r="J30" s="13">
        <f>IF(OR(A30="",B30=""),"",SUMIFS(Diario!$K$2:$K$301,Diario!$B$2:$B$301,$B30,Diario!$A$2:$A$301,"&gt;="&amp;$A30,Diario!$A$2:$A$301,"&lt;"&amp;$A30+7))</f>
        <v/>
      </c>
      <c r="K30" s="8">
        <f>IF(OR(D30="",B30=""),"",IFERROR(IF(INDEX(Cuentas!$J$2:$J$21,MATCH(B30,Cuentas!$A$2:$A$21,0))="","",D30-INDEX(Cuentas!$J$2:$J$21,MATCH(B30,Cuentas!$A$2:$A$21,0))),""))</f>
        <v/>
      </c>
      <c r="L30" s="6" t="n"/>
    </row>
    <row r="31">
      <c r="A31" s="12" t="n"/>
      <c r="B31" s="6" t="n"/>
      <c r="C31" s="7" t="n"/>
      <c r="D31" s="7" t="n"/>
      <c r="E31" s="8">
        <f>IF(OR(C31="",D31=""),"",D31-C31)</f>
        <v/>
      </c>
      <c r="F31" s="9">
        <f>IF(OR(C31="",D31="",C31=0),"",E31/C31)</f>
        <v/>
      </c>
      <c r="G31" s="14">
        <f>IF(OR(A31="",B31=""),"",COUNTIFS(Diario!$B$2:$B$301,$B31,Diario!$A$2:$A$301,"&gt;="&amp;$A31,Diario!$A$2:$A$301,"&lt;"&amp;$A31+7))</f>
        <v/>
      </c>
      <c r="H31" s="14">
        <f>IF(OR(A31="",B31=""),"",COUNTIFS(Diario!$B$2:$B$301,$B31,Diario!$A$2:$A$301,"&gt;="&amp;$A31,Diario!$A$2:$A$301,"&lt;"&amp;$A31+7,Diario!$I$2:$I$301,"&gt;0"))</f>
        <v/>
      </c>
      <c r="I31" s="9">
        <f>IF(OR(G31="",G31=0),"",H31/G31)</f>
        <v/>
      </c>
      <c r="J31" s="13">
        <f>IF(OR(A31="",B31=""),"",SUMIFS(Diario!$K$2:$K$301,Diario!$B$2:$B$301,$B31,Diario!$A$2:$A$301,"&gt;="&amp;$A31,Diario!$A$2:$A$301,"&lt;"&amp;$A31+7))</f>
        <v/>
      </c>
      <c r="K31" s="8">
        <f>IF(OR(D31="",B31=""),"",IFERROR(IF(INDEX(Cuentas!$J$2:$J$21,MATCH(B31,Cuentas!$A$2:$A$21,0))="","",D31-INDEX(Cuentas!$J$2:$J$21,MATCH(B31,Cuentas!$A$2:$A$21,0))),""))</f>
        <v/>
      </c>
      <c r="L31" s="6" t="n"/>
    </row>
    <row r="32">
      <c r="A32" s="12" t="n"/>
      <c r="B32" s="6" t="n"/>
      <c r="C32" s="7" t="n"/>
      <c r="D32" s="7" t="n"/>
      <c r="E32" s="8">
        <f>IF(OR(C32="",D32=""),"",D32-C32)</f>
        <v/>
      </c>
      <c r="F32" s="9">
        <f>IF(OR(C32="",D32="",C32=0),"",E32/C32)</f>
        <v/>
      </c>
      <c r="G32" s="14">
        <f>IF(OR(A32="",B32=""),"",COUNTIFS(Diario!$B$2:$B$301,$B32,Diario!$A$2:$A$301,"&gt;="&amp;$A32,Diario!$A$2:$A$301,"&lt;"&amp;$A32+7))</f>
        <v/>
      </c>
      <c r="H32" s="14">
        <f>IF(OR(A32="",B32=""),"",COUNTIFS(Diario!$B$2:$B$301,$B32,Diario!$A$2:$A$301,"&gt;="&amp;$A32,Diario!$A$2:$A$301,"&lt;"&amp;$A32+7,Diario!$I$2:$I$301,"&gt;0"))</f>
        <v/>
      </c>
      <c r="I32" s="9">
        <f>IF(OR(G32="",G32=0),"",H32/G32)</f>
        <v/>
      </c>
      <c r="J32" s="13">
        <f>IF(OR(A32="",B32=""),"",SUMIFS(Diario!$K$2:$K$301,Diario!$B$2:$B$301,$B32,Diario!$A$2:$A$301,"&gt;="&amp;$A32,Diario!$A$2:$A$301,"&lt;"&amp;$A32+7))</f>
        <v/>
      </c>
      <c r="K32" s="8">
        <f>IF(OR(D32="",B32=""),"",IFERROR(IF(INDEX(Cuentas!$J$2:$J$21,MATCH(B32,Cuentas!$A$2:$A$21,0))="","",D32-INDEX(Cuentas!$J$2:$J$21,MATCH(B32,Cuentas!$A$2:$A$21,0))),""))</f>
        <v/>
      </c>
      <c r="L32" s="6" t="n"/>
    </row>
    <row r="33">
      <c r="A33" s="12" t="n"/>
      <c r="B33" s="6" t="n"/>
      <c r="C33" s="7" t="n"/>
      <c r="D33" s="7" t="n"/>
      <c r="E33" s="8">
        <f>IF(OR(C33="",D33=""),"",D33-C33)</f>
        <v/>
      </c>
      <c r="F33" s="9">
        <f>IF(OR(C33="",D33="",C33=0),"",E33/C33)</f>
        <v/>
      </c>
      <c r="G33" s="14">
        <f>IF(OR(A33="",B33=""),"",COUNTIFS(Diario!$B$2:$B$301,$B33,Diario!$A$2:$A$301,"&gt;="&amp;$A33,Diario!$A$2:$A$301,"&lt;"&amp;$A33+7))</f>
        <v/>
      </c>
      <c r="H33" s="14">
        <f>IF(OR(A33="",B33=""),"",COUNTIFS(Diario!$B$2:$B$301,$B33,Diario!$A$2:$A$301,"&gt;="&amp;$A33,Diario!$A$2:$A$301,"&lt;"&amp;$A33+7,Diario!$I$2:$I$301,"&gt;0"))</f>
        <v/>
      </c>
      <c r="I33" s="9">
        <f>IF(OR(G33="",G33=0),"",H33/G33)</f>
        <v/>
      </c>
      <c r="J33" s="13">
        <f>IF(OR(A33="",B33=""),"",SUMIFS(Diario!$K$2:$K$301,Diario!$B$2:$B$301,$B33,Diario!$A$2:$A$301,"&gt;="&amp;$A33,Diario!$A$2:$A$301,"&lt;"&amp;$A33+7))</f>
        <v/>
      </c>
      <c r="K33" s="8">
        <f>IF(OR(D33="",B33=""),"",IFERROR(IF(INDEX(Cuentas!$J$2:$J$21,MATCH(B33,Cuentas!$A$2:$A$21,0))="","",D33-INDEX(Cuentas!$J$2:$J$21,MATCH(B33,Cuentas!$A$2:$A$21,0))),""))</f>
        <v/>
      </c>
      <c r="L33" s="6" t="n"/>
    </row>
    <row r="34">
      <c r="A34" s="12" t="n"/>
      <c r="B34" s="6" t="n"/>
      <c r="C34" s="7" t="n"/>
      <c r="D34" s="7" t="n"/>
      <c r="E34" s="8">
        <f>IF(OR(C34="",D34=""),"",D34-C34)</f>
        <v/>
      </c>
      <c r="F34" s="9">
        <f>IF(OR(C34="",D34="",C34=0),"",E34/C34)</f>
        <v/>
      </c>
      <c r="G34" s="14">
        <f>IF(OR(A34="",B34=""),"",COUNTIFS(Diario!$B$2:$B$301,$B34,Diario!$A$2:$A$301,"&gt;="&amp;$A34,Diario!$A$2:$A$301,"&lt;"&amp;$A34+7))</f>
        <v/>
      </c>
      <c r="H34" s="14">
        <f>IF(OR(A34="",B34=""),"",COUNTIFS(Diario!$B$2:$B$301,$B34,Diario!$A$2:$A$301,"&gt;="&amp;$A34,Diario!$A$2:$A$301,"&lt;"&amp;$A34+7,Diario!$I$2:$I$301,"&gt;0"))</f>
        <v/>
      </c>
      <c r="I34" s="9">
        <f>IF(OR(G34="",G34=0),"",H34/G34)</f>
        <v/>
      </c>
      <c r="J34" s="13">
        <f>IF(OR(A34="",B34=""),"",SUMIFS(Diario!$K$2:$K$301,Diario!$B$2:$B$301,$B34,Diario!$A$2:$A$301,"&gt;="&amp;$A34,Diario!$A$2:$A$301,"&lt;"&amp;$A34+7))</f>
        <v/>
      </c>
      <c r="K34" s="8">
        <f>IF(OR(D34="",B34=""),"",IFERROR(IF(INDEX(Cuentas!$J$2:$J$21,MATCH(B34,Cuentas!$A$2:$A$21,0))="","",D34-INDEX(Cuentas!$J$2:$J$21,MATCH(B34,Cuentas!$A$2:$A$21,0))),""))</f>
        <v/>
      </c>
      <c r="L34" s="6" t="n"/>
    </row>
    <row r="35">
      <c r="A35" s="12" t="n"/>
      <c r="B35" s="6" t="n"/>
      <c r="C35" s="7" t="n"/>
      <c r="D35" s="7" t="n"/>
      <c r="E35" s="8">
        <f>IF(OR(C35="",D35=""),"",D35-C35)</f>
        <v/>
      </c>
      <c r="F35" s="9">
        <f>IF(OR(C35="",D35="",C35=0),"",E35/C35)</f>
        <v/>
      </c>
      <c r="G35" s="14">
        <f>IF(OR(A35="",B35=""),"",COUNTIFS(Diario!$B$2:$B$301,$B35,Diario!$A$2:$A$301,"&gt;="&amp;$A35,Diario!$A$2:$A$301,"&lt;"&amp;$A35+7))</f>
        <v/>
      </c>
      <c r="H35" s="14">
        <f>IF(OR(A35="",B35=""),"",COUNTIFS(Diario!$B$2:$B$301,$B35,Diario!$A$2:$A$301,"&gt;="&amp;$A35,Diario!$A$2:$A$301,"&lt;"&amp;$A35+7,Diario!$I$2:$I$301,"&gt;0"))</f>
        <v/>
      </c>
      <c r="I35" s="9">
        <f>IF(OR(G35="",G35=0),"",H35/G35)</f>
        <v/>
      </c>
      <c r="J35" s="13">
        <f>IF(OR(A35="",B35=""),"",SUMIFS(Diario!$K$2:$K$301,Diario!$B$2:$B$301,$B35,Diario!$A$2:$A$301,"&gt;="&amp;$A35,Diario!$A$2:$A$301,"&lt;"&amp;$A35+7))</f>
        <v/>
      </c>
      <c r="K35" s="8">
        <f>IF(OR(D35="",B35=""),"",IFERROR(IF(INDEX(Cuentas!$J$2:$J$21,MATCH(B35,Cuentas!$A$2:$A$21,0))="","",D35-INDEX(Cuentas!$J$2:$J$21,MATCH(B35,Cuentas!$A$2:$A$21,0))),""))</f>
        <v/>
      </c>
      <c r="L35" s="6" t="n"/>
    </row>
    <row r="36">
      <c r="A36" s="12" t="n"/>
      <c r="B36" s="6" t="n"/>
      <c r="C36" s="7" t="n"/>
      <c r="D36" s="7" t="n"/>
      <c r="E36" s="8">
        <f>IF(OR(C36="",D36=""),"",D36-C36)</f>
        <v/>
      </c>
      <c r="F36" s="9">
        <f>IF(OR(C36="",D36="",C36=0),"",E36/C36)</f>
        <v/>
      </c>
      <c r="G36" s="14">
        <f>IF(OR(A36="",B36=""),"",COUNTIFS(Diario!$B$2:$B$301,$B36,Diario!$A$2:$A$301,"&gt;="&amp;$A36,Diario!$A$2:$A$301,"&lt;"&amp;$A36+7))</f>
        <v/>
      </c>
      <c r="H36" s="14">
        <f>IF(OR(A36="",B36=""),"",COUNTIFS(Diario!$B$2:$B$301,$B36,Diario!$A$2:$A$301,"&gt;="&amp;$A36,Diario!$A$2:$A$301,"&lt;"&amp;$A36+7,Diario!$I$2:$I$301,"&gt;0"))</f>
        <v/>
      </c>
      <c r="I36" s="9">
        <f>IF(OR(G36="",G36=0),"",H36/G36)</f>
        <v/>
      </c>
      <c r="J36" s="13">
        <f>IF(OR(A36="",B36=""),"",SUMIFS(Diario!$K$2:$K$301,Diario!$B$2:$B$301,$B36,Diario!$A$2:$A$301,"&gt;="&amp;$A36,Diario!$A$2:$A$301,"&lt;"&amp;$A36+7))</f>
        <v/>
      </c>
      <c r="K36" s="8">
        <f>IF(OR(D36="",B36=""),"",IFERROR(IF(INDEX(Cuentas!$J$2:$J$21,MATCH(B36,Cuentas!$A$2:$A$21,0))="","",D36-INDEX(Cuentas!$J$2:$J$21,MATCH(B36,Cuentas!$A$2:$A$21,0))),""))</f>
        <v/>
      </c>
      <c r="L36" s="6" t="n"/>
    </row>
    <row r="37">
      <c r="A37" s="12" t="n"/>
      <c r="B37" s="6" t="n"/>
      <c r="C37" s="7" t="n"/>
      <c r="D37" s="7" t="n"/>
      <c r="E37" s="8">
        <f>IF(OR(C37="",D37=""),"",D37-C37)</f>
        <v/>
      </c>
      <c r="F37" s="9">
        <f>IF(OR(C37="",D37="",C37=0),"",E37/C37)</f>
        <v/>
      </c>
      <c r="G37" s="14">
        <f>IF(OR(A37="",B37=""),"",COUNTIFS(Diario!$B$2:$B$301,$B37,Diario!$A$2:$A$301,"&gt;="&amp;$A37,Diario!$A$2:$A$301,"&lt;"&amp;$A37+7))</f>
        <v/>
      </c>
      <c r="H37" s="14">
        <f>IF(OR(A37="",B37=""),"",COUNTIFS(Diario!$B$2:$B$301,$B37,Diario!$A$2:$A$301,"&gt;="&amp;$A37,Diario!$A$2:$A$301,"&lt;"&amp;$A37+7,Diario!$I$2:$I$301,"&gt;0"))</f>
        <v/>
      </c>
      <c r="I37" s="9">
        <f>IF(OR(G37="",G37=0),"",H37/G37)</f>
        <v/>
      </c>
      <c r="J37" s="13">
        <f>IF(OR(A37="",B37=""),"",SUMIFS(Diario!$K$2:$K$301,Diario!$B$2:$B$301,$B37,Diario!$A$2:$A$301,"&gt;="&amp;$A37,Diario!$A$2:$A$301,"&lt;"&amp;$A37+7))</f>
        <v/>
      </c>
      <c r="K37" s="8">
        <f>IF(OR(D37="",B37=""),"",IFERROR(IF(INDEX(Cuentas!$J$2:$J$21,MATCH(B37,Cuentas!$A$2:$A$21,0))="","",D37-INDEX(Cuentas!$J$2:$J$21,MATCH(B37,Cuentas!$A$2:$A$21,0))),""))</f>
        <v/>
      </c>
      <c r="L37" s="6" t="n"/>
    </row>
    <row r="38">
      <c r="A38" s="12" t="n"/>
      <c r="B38" s="6" t="n"/>
      <c r="C38" s="7" t="n"/>
      <c r="D38" s="7" t="n"/>
      <c r="E38" s="8">
        <f>IF(OR(C38="",D38=""),"",D38-C38)</f>
        <v/>
      </c>
      <c r="F38" s="9">
        <f>IF(OR(C38="",D38="",C38=0),"",E38/C38)</f>
        <v/>
      </c>
      <c r="G38" s="14">
        <f>IF(OR(A38="",B38=""),"",COUNTIFS(Diario!$B$2:$B$301,$B38,Diario!$A$2:$A$301,"&gt;="&amp;$A38,Diario!$A$2:$A$301,"&lt;"&amp;$A38+7))</f>
        <v/>
      </c>
      <c r="H38" s="14">
        <f>IF(OR(A38="",B38=""),"",COUNTIFS(Diario!$B$2:$B$301,$B38,Diario!$A$2:$A$301,"&gt;="&amp;$A38,Diario!$A$2:$A$301,"&lt;"&amp;$A38+7,Diario!$I$2:$I$301,"&gt;0"))</f>
        <v/>
      </c>
      <c r="I38" s="9">
        <f>IF(OR(G38="",G38=0),"",H38/G38)</f>
        <v/>
      </c>
      <c r="J38" s="13">
        <f>IF(OR(A38="",B38=""),"",SUMIFS(Diario!$K$2:$K$301,Diario!$B$2:$B$301,$B38,Diario!$A$2:$A$301,"&gt;="&amp;$A38,Diario!$A$2:$A$301,"&lt;"&amp;$A38+7))</f>
        <v/>
      </c>
      <c r="K38" s="8">
        <f>IF(OR(D38="",B38=""),"",IFERROR(IF(INDEX(Cuentas!$J$2:$J$21,MATCH(B38,Cuentas!$A$2:$A$21,0))="","",D38-INDEX(Cuentas!$J$2:$J$21,MATCH(B38,Cuentas!$A$2:$A$21,0))),""))</f>
        <v/>
      </c>
      <c r="L38" s="6" t="n"/>
    </row>
    <row r="39">
      <c r="A39" s="12" t="n"/>
      <c r="B39" s="6" t="n"/>
      <c r="C39" s="7" t="n"/>
      <c r="D39" s="7" t="n"/>
      <c r="E39" s="8">
        <f>IF(OR(C39="",D39=""),"",D39-C39)</f>
        <v/>
      </c>
      <c r="F39" s="9">
        <f>IF(OR(C39="",D39="",C39=0),"",E39/C39)</f>
        <v/>
      </c>
      <c r="G39" s="14">
        <f>IF(OR(A39="",B39=""),"",COUNTIFS(Diario!$B$2:$B$301,$B39,Diario!$A$2:$A$301,"&gt;="&amp;$A39,Diario!$A$2:$A$301,"&lt;"&amp;$A39+7))</f>
        <v/>
      </c>
      <c r="H39" s="14">
        <f>IF(OR(A39="",B39=""),"",COUNTIFS(Diario!$B$2:$B$301,$B39,Diario!$A$2:$A$301,"&gt;="&amp;$A39,Diario!$A$2:$A$301,"&lt;"&amp;$A39+7,Diario!$I$2:$I$301,"&gt;0"))</f>
        <v/>
      </c>
      <c r="I39" s="9">
        <f>IF(OR(G39="",G39=0),"",H39/G39)</f>
        <v/>
      </c>
      <c r="J39" s="13">
        <f>IF(OR(A39="",B39=""),"",SUMIFS(Diario!$K$2:$K$301,Diario!$B$2:$B$301,$B39,Diario!$A$2:$A$301,"&gt;="&amp;$A39,Diario!$A$2:$A$301,"&lt;"&amp;$A39+7))</f>
        <v/>
      </c>
      <c r="K39" s="8">
        <f>IF(OR(D39="",B39=""),"",IFERROR(IF(INDEX(Cuentas!$J$2:$J$21,MATCH(B39,Cuentas!$A$2:$A$21,0))="","",D39-INDEX(Cuentas!$J$2:$J$21,MATCH(B39,Cuentas!$A$2:$A$21,0))),""))</f>
        <v/>
      </c>
      <c r="L39" s="6" t="n"/>
    </row>
    <row r="40">
      <c r="A40" s="12" t="n"/>
      <c r="B40" s="6" t="n"/>
      <c r="C40" s="7" t="n"/>
      <c r="D40" s="7" t="n"/>
      <c r="E40" s="8">
        <f>IF(OR(C40="",D40=""),"",D40-C40)</f>
        <v/>
      </c>
      <c r="F40" s="9">
        <f>IF(OR(C40="",D40="",C40=0),"",E40/C40)</f>
        <v/>
      </c>
      <c r="G40" s="14">
        <f>IF(OR(A40="",B40=""),"",COUNTIFS(Diario!$B$2:$B$301,$B40,Diario!$A$2:$A$301,"&gt;="&amp;$A40,Diario!$A$2:$A$301,"&lt;"&amp;$A40+7))</f>
        <v/>
      </c>
      <c r="H40" s="14">
        <f>IF(OR(A40="",B40=""),"",COUNTIFS(Diario!$B$2:$B$301,$B40,Diario!$A$2:$A$301,"&gt;="&amp;$A40,Diario!$A$2:$A$301,"&lt;"&amp;$A40+7,Diario!$I$2:$I$301,"&gt;0"))</f>
        <v/>
      </c>
      <c r="I40" s="9">
        <f>IF(OR(G40="",G40=0),"",H40/G40)</f>
        <v/>
      </c>
      <c r="J40" s="13">
        <f>IF(OR(A40="",B40=""),"",SUMIFS(Diario!$K$2:$K$301,Diario!$B$2:$B$301,$B40,Diario!$A$2:$A$301,"&gt;="&amp;$A40,Diario!$A$2:$A$301,"&lt;"&amp;$A40+7))</f>
        <v/>
      </c>
      <c r="K40" s="8">
        <f>IF(OR(D40="",B40=""),"",IFERROR(IF(INDEX(Cuentas!$J$2:$J$21,MATCH(B40,Cuentas!$A$2:$A$21,0))="","",D40-INDEX(Cuentas!$J$2:$J$21,MATCH(B40,Cuentas!$A$2:$A$21,0))),""))</f>
        <v/>
      </c>
      <c r="L40" s="6" t="n"/>
    </row>
    <row r="41">
      <c r="A41" s="12" t="n"/>
      <c r="B41" s="6" t="n"/>
      <c r="C41" s="7" t="n"/>
      <c r="D41" s="7" t="n"/>
      <c r="E41" s="8">
        <f>IF(OR(C41="",D41=""),"",D41-C41)</f>
        <v/>
      </c>
      <c r="F41" s="9">
        <f>IF(OR(C41="",D41="",C41=0),"",E41/C41)</f>
        <v/>
      </c>
      <c r="G41" s="14">
        <f>IF(OR(A41="",B41=""),"",COUNTIFS(Diario!$B$2:$B$301,$B41,Diario!$A$2:$A$301,"&gt;="&amp;$A41,Diario!$A$2:$A$301,"&lt;"&amp;$A41+7))</f>
        <v/>
      </c>
      <c r="H41" s="14">
        <f>IF(OR(A41="",B41=""),"",COUNTIFS(Diario!$B$2:$B$301,$B41,Diario!$A$2:$A$301,"&gt;="&amp;$A41,Diario!$A$2:$A$301,"&lt;"&amp;$A41+7,Diario!$I$2:$I$301,"&gt;0"))</f>
        <v/>
      </c>
      <c r="I41" s="9">
        <f>IF(OR(G41="",G41=0),"",H41/G41)</f>
        <v/>
      </c>
      <c r="J41" s="13">
        <f>IF(OR(A41="",B41=""),"",SUMIFS(Diario!$K$2:$K$301,Diario!$B$2:$B$301,$B41,Diario!$A$2:$A$301,"&gt;="&amp;$A41,Diario!$A$2:$A$301,"&lt;"&amp;$A41+7))</f>
        <v/>
      </c>
      <c r="K41" s="8">
        <f>IF(OR(D41="",B41=""),"",IFERROR(IF(INDEX(Cuentas!$J$2:$J$21,MATCH(B41,Cuentas!$A$2:$A$21,0))="","",D41-INDEX(Cuentas!$J$2:$J$21,MATCH(B41,Cuentas!$A$2:$A$21,0))),""))</f>
        <v/>
      </c>
      <c r="L41" s="6" t="n"/>
    </row>
    <row r="42">
      <c r="A42" s="12" t="n"/>
      <c r="B42" s="6" t="n"/>
      <c r="C42" s="7" t="n"/>
      <c r="D42" s="7" t="n"/>
      <c r="E42" s="8">
        <f>IF(OR(C42="",D42=""),"",D42-C42)</f>
        <v/>
      </c>
      <c r="F42" s="9">
        <f>IF(OR(C42="",D42="",C42=0),"",E42/C42)</f>
        <v/>
      </c>
      <c r="G42" s="14">
        <f>IF(OR(A42="",B42=""),"",COUNTIFS(Diario!$B$2:$B$301,$B42,Diario!$A$2:$A$301,"&gt;="&amp;$A42,Diario!$A$2:$A$301,"&lt;"&amp;$A42+7))</f>
        <v/>
      </c>
      <c r="H42" s="14">
        <f>IF(OR(A42="",B42=""),"",COUNTIFS(Diario!$B$2:$B$301,$B42,Diario!$A$2:$A$301,"&gt;="&amp;$A42,Diario!$A$2:$A$301,"&lt;"&amp;$A42+7,Diario!$I$2:$I$301,"&gt;0"))</f>
        <v/>
      </c>
      <c r="I42" s="9">
        <f>IF(OR(G42="",G42=0),"",H42/G42)</f>
        <v/>
      </c>
      <c r="J42" s="13">
        <f>IF(OR(A42="",B42=""),"",SUMIFS(Diario!$K$2:$K$301,Diario!$B$2:$B$301,$B42,Diario!$A$2:$A$301,"&gt;="&amp;$A42,Diario!$A$2:$A$301,"&lt;"&amp;$A42+7))</f>
        <v/>
      </c>
      <c r="K42" s="8">
        <f>IF(OR(D42="",B42=""),"",IFERROR(IF(INDEX(Cuentas!$J$2:$J$21,MATCH(B42,Cuentas!$A$2:$A$21,0))="","",D42-INDEX(Cuentas!$J$2:$J$21,MATCH(B42,Cuentas!$A$2:$A$21,0))),""))</f>
        <v/>
      </c>
      <c r="L42" s="6" t="n"/>
    </row>
    <row r="43">
      <c r="A43" s="12" t="n"/>
      <c r="B43" s="6" t="n"/>
      <c r="C43" s="7" t="n"/>
      <c r="D43" s="7" t="n"/>
      <c r="E43" s="8">
        <f>IF(OR(C43="",D43=""),"",D43-C43)</f>
        <v/>
      </c>
      <c r="F43" s="9">
        <f>IF(OR(C43="",D43="",C43=0),"",E43/C43)</f>
        <v/>
      </c>
      <c r="G43" s="14">
        <f>IF(OR(A43="",B43=""),"",COUNTIFS(Diario!$B$2:$B$301,$B43,Diario!$A$2:$A$301,"&gt;="&amp;$A43,Diario!$A$2:$A$301,"&lt;"&amp;$A43+7))</f>
        <v/>
      </c>
      <c r="H43" s="14">
        <f>IF(OR(A43="",B43=""),"",COUNTIFS(Diario!$B$2:$B$301,$B43,Diario!$A$2:$A$301,"&gt;="&amp;$A43,Diario!$A$2:$A$301,"&lt;"&amp;$A43+7,Diario!$I$2:$I$301,"&gt;0"))</f>
        <v/>
      </c>
      <c r="I43" s="9">
        <f>IF(OR(G43="",G43=0),"",H43/G43)</f>
        <v/>
      </c>
      <c r="J43" s="13">
        <f>IF(OR(A43="",B43=""),"",SUMIFS(Diario!$K$2:$K$301,Diario!$B$2:$B$301,$B43,Diario!$A$2:$A$301,"&gt;="&amp;$A43,Diario!$A$2:$A$301,"&lt;"&amp;$A43+7))</f>
        <v/>
      </c>
      <c r="K43" s="8">
        <f>IF(OR(D43="",B43=""),"",IFERROR(IF(INDEX(Cuentas!$J$2:$J$21,MATCH(B43,Cuentas!$A$2:$A$21,0))="","",D43-INDEX(Cuentas!$J$2:$J$21,MATCH(B43,Cuentas!$A$2:$A$21,0))),""))</f>
        <v/>
      </c>
      <c r="L43" s="6" t="n"/>
    </row>
    <row r="44">
      <c r="A44" s="12" t="n"/>
      <c r="B44" s="6" t="n"/>
      <c r="C44" s="7" t="n"/>
      <c r="D44" s="7" t="n"/>
      <c r="E44" s="8">
        <f>IF(OR(C44="",D44=""),"",D44-C44)</f>
        <v/>
      </c>
      <c r="F44" s="9">
        <f>IF(OR(C44="",D44="",C44=0),"",E44/C44)</f>
        <v/>
      </c>
      <c r="G44" s="14">
        <f>IF(OR(A44="",B44=""),"",COUNTIFS(Diario!$B$2:$B$301,$B44,Diario!$A$2:$A$301,"&gt;="&amp;$A44,Diario!$A$2:$A$301,"&lt;"&amp;$A44+7))</f>
        <v/>
      </c>
      <c r="H44" s="14">
        <f>IF(OR(A44="",B44=""),"",COUNTIFS(Diario!$B$2:$B$301,$B44,Diario!$A$2:$A$301,"&gt;="&amp;$A44,Diario!$A$2:$A$301,"&lt;"&amp;$A44+7,Diario!$I$2:$I$301,"&gt;0"))</f>
        <v/>
      </c>
      <c r="I44" s="9">
        <f>IF(OR(G44="",G44=0),"",H44/G44)</f>
        <v/>
      </c>
      <c r="J44" s="13">
        <f>IF(OR(A44="",B44=""),"",SUMIFS(Diario!$K$2:$K$301,Diario!$B$2:$B$301,$B44,Diario!$A$2:$A$301,"&gt;="&amp;$A44,Diario!$A$2:$A$301,"&lt;"&amp;$A44+7))</f>
        <v/>
      </c>
      <c r="K44" s="8">
        <f>IF(OR(D44="",B44=""),"",IFERROR(IF(INDEX(Cuentas!$J$2:$J$21,MATCH(B44,Cuentas!$A$2:$A$21,0))="","",D44-INDEX(Cuentas!$J$2:$J$21,MATCH(B44,Cuentas!$A$2:$A$21,0))),""))</f>
        <v/>
      </c>
      <c r="L44" s="6" t="n"/>
    </row>
    <row r="45">
      <c r="A45" s="12" t="n"/>
      <c r="B45" s="6" t="n"/>
      <c r="C45" s="7" t="n"/>
      <c r="D45" s="7" t="n"/>
      <c r="E45" s="8">
        <f>IF(OR(C45="",D45=""),"",D45-C45)</f>
        <v/>
      </c>
      <c r="F45" s="9">
        <f>IF(OR(C45="",D45="",C45=0),"",E45/C45)</f>
        <v/>
      </c>
      <c r="G45" s="14">
        <f>IF(OR(A45="",B45=""),"",COUNTIFS(Diario!$B$2:$B$301,$B45,Diario!$A$2:$A$301,"&gt;="&amp;$A45,Diario!$A$2:$A$301,"&lt;"&amp;$A45+7))</f>
        <v/>
      </c>
      <c r="H45" s="14">
        <f>IF(OR(A45="",B45=""),"",COUNTIFS(Diario!$B$2:$B$301,$B45,Diario!$A$2:$A$301,"&gt;="&amp;$A45,Diario!$A$2:$A$301,"&lt;"&amp;$A45+7,Diario!$I$2:$I$301,"&gt;0"))</f>
        <v/>
      </c>
      <c r="I45" s="9">
        <f>IF(OR(G45="",G45=0),"",H45/G45)</f>
        <v/>
      </c>
      <c r="J45" s="13">
        <f>IF(OR(A45="",B45=""),"",SUMIFS(Diario!$K$2:$K$301,Diario!$B$2:$B$301,$B45,Diario!$A$2:$A$301,"&gt;="&amp;$A45,Diario!$A$2:$A$301,"&lt;"&amp;$A45+7))</f>
        <v/>
      </c>
      <c r="K45" s="8">
        <f>IF(OR(D45="",B45=""),"",IFERROR(IF(INDEX(Cuentas!$J$2:$J$21,MATCH(B45,Cuentas!$A$2:$A$21,0))="","",D45-INDEX(Cuentas!$J$2:$J$21,MATCH(B45,Cuentas!$A$2:$A$21,0))),""))</f>
        <v/>
      </c>
      <c r="L45" s="6" t="n"/>
    </row>
    <row r="46">
      <c r="A46" s="12" t="n"/>
      <c r="B46" s="6" t="n"/>
      <c r="C46" s="7" t="n"/>
      <c r="D46" s="7" t="n"/>
      <c r="E46" s="8">
        <f>IF(OR(C46="",D46=""),"",D46-C46)</f>
        <v/>
      </c>
      <c r="F46" s="9">
        <f>IF(OR(C46="",D46="",C46=0),"",E46/C46)</f>
        <v/>
      </c>
      <c r="G46" s="14">
        <f>IF(OR(A46="",B46=""),"",COUNTIFS(Diario!$B$2:$B$301,$B46,Diario!$A$2:$A$301,"&gt;="&amp;$A46,Diario!$A$2:$A$301,"&lt;"&amp;$A46+7))</f>
        <v/>
      </c>
      <c r="H46" s="14">
        <f>IF(OR(A46="",B46=""),"",COUNTIFS(Diario!$B$2:$B$301,$B46,Diario!$A$2:$A$301,"&gt;="&amp;$A46,Diario!$A$2:$A$301,"&lt;"&amp;$A46+7,Diario!$I$2:$I$301,"&gt;0"))</f>
        <v/>
      </c>
      <c r="I46" s="9">
        <f>IF(OR(G46="",G46=0),"",H46/G46)</f>
        <v/>
      </c>
      <c r="J46" s="13">
        <f>IF(OR(A46="",B46=""),"",SUMIFS(Diario!$K$2:$K$301,Diario!$B$2:$B$301,$B46,Diario!$A$2:$A$301,"&gt;="&amp;$A46,Diario!$A$2:$A$301,"&lt;"&amp;$A46+7))</f>
        <v/>
      </c>
      <c r="K46" s="8">
        <f>IF(OR(D46="",B46=""),"",IFERROR(IF(INDEX(Cuentas!$J$2:$J$21,MATCH(B46,Cuentas!$A$2:$A$21,0))="","",D46-INDEX(Cuentas!$J$2:$J$21,MATCH(B46,Cuentas!$A$2:$A$21,0))),""))</f>
        <v/>
      </c>
      <c r="L46" s="6" t="n"/>
    </row>
    <row r="47">
      <c r="A47" s="12" t="n"/>
      <c r="B47" s="6" t="n"/>
      <c r="C47" s="7" t="n"/>
      <c r="D47" s="7" t="n"/>
      <c r="E47" s="8">
        <f>IF(OR(C47="",D47=""),"",D47-C47)</f>
        <v/>
      </c>
      <c r="F47" s="9">
        <f>IF(OR(C47="",D47="",C47=0),"",E47/C47)</f>
        <v/>
      </c>
      <c r="G47" s="14">
        <f>IF(OR(A47="",B47=""),"",COUNTIFS(Diario!$B$2:$B$301,$B47,Diario!$A$2:$A$301,"&gt;="&amp;$A47,Diario!$A$2:$A$301,"&lt;"&amp;$A47+7))</f>
        <v/>
      </c>
      <c r="H47" s="14">
        <f>IF(OR(A47="",B47=""),"",COUNTIFS(Diario!$B$2:$B$301,$B47,Diario!$A$2:$A$301,"&gt;="&amp;$A47,Diario!$A$2:$A$301,"&lt;"&amp;$A47+7,Diario!$I$2:$I$301,"&gt;0"))</f>
        <v/>
      </c>
      <c r="I47" s="9">
        <f>IF(OR(G47="",G47=0),"",H47/G47)</f>
        <v/>
      </c>
      <c r="J47" s="13">
        <f>IF(OR(A47="",B47=""),"",SUMIFS(Diario!$K$2:$K$301,Diario!$B$2:$B$301,$B47,Diario!$A$2:$A$301,"&gt;="&amp;$A47,Diario!$A$2:$A$301,"&lt;"&amp;$A47+7))</f>
        <v/>
      </c>
      <c r="K47" s="8">
        <f>IF(OR(D47="",B47=""),"",IFERROR(IF(INDEX(Cuentas!$J$2:$J$21,MATCH(B47,Cuentas!$A$2:$A$21,0))="","",D47-INDEX(Cuentas!$J$2:$J$21,MATCH(B47,Cuentas!$A$2:$A$21,0))),""))</f>
        <v/>
      </c>
      <c r="L47" s="6" t="n"/>
    </row>
    <row r="48">
      <c r="A48" s="12" t="n"/>
      <c r="B48" s="6" t="n"/>
      <c r="C48" s="7" t="n"/>
      <c r="D48" s="7" t="n"/>
      <c r="E48" s="8">
        <f>IF(OR(C48="",D48=""),"",D48-C48)</f>
        <v/>
      </c>
      <c r="F48" s="9">
        <f>IF(OR(C48="",D48="",C48=0),"",E48/C48)</f>
        <v/>
      </c>
      <c r="G48" s="14">
        <f>IF(OR(A48="",B48=""),"",COUNTIFS(Diario!$B$2:$B$301,$B48,Diario!$A$2:$A$301,"&gt;="&amp;$A48,Diario!$A$2:$A$301,"&lt;"&amp;$A48+7))</f>
        <v/>
      </c>
      <c r="H48" s="14">
        <f>IF(OR(A48="",B48=""),"",COUNTIFS(Diario!$B$2:$B$301,$B48,Diario!$A$2:$A$301,"&gt;="&amp;$A48,Diario!$A$2:$A$301,"&lt;"&amp;$A48+7,Diario!$I$2:$I$301,"&gt;0"))</f>
        <v/>
      </c>
      <c r="I48" s="9">
        <f>IF(OR(G48="",G48=0),"",H48/G48)</f>
        <v/>
      </c>
      <c r="J48" s="13">
        <f>IF(OR(A48="",B48=""),"",SUMIFS(Diario!$K$2:$K$301,Diario!$B$2:$B$301,$B48,Diario!$A$2:$A$301,"&gt;="&amp;$A48,Diario!$A$2:$A$301,"&lt;"&amp;$A48+7))</f>
        <v/>
      </c>
      <c r="K48" s="8">
        <f>IF(OR(D48="",B48=""),"",IFERROR(IF(INDEX(Cuentas!$J$2:$J$21,MATCH(B48,Cuentas!$A$2:$A$21,0))="","",D48-INDEX(Cuentas!$J$2:$J$21,MATCH(B48,Cuentas!$A$2:$A$21,0))),""))</f>
        <v/>
      </c>
      <c r="L48" s="6" t="n"/>
    </row>
    <row r="49">
      <c r="A49" s="12" t="n"/>
      <c r="B49" s="6" t="n"/>
      <c r="C49" s="7" t="n"/>
      <c r="D49" s="7" t="n"/>
      <c r="E49" s="8">
        <f>IF(OR(C49="",D49=""),"",D49-C49)</f>
        <v/>
      </c>
      <c r="F49" s="9">
        <f>IF(OR(C49="",D49="",C49=0),"",E49/C49)</f>
        <v/>
      </c>
      <c r="G49" s="14">
        <f>IF(OR(A49="",B49=""),"",COUNTIFS(Diario!$B$2:$B$301,$B49,Diario!$A$2:$A$301,"&gt;="&amp;$A49,Diario!$A$2:$A$301,"&lt;"&amp;$A49+7))</f>
        <v/>
      </c>
      <c r="H49" s="14">
        <f>IF(OR(A49="",B49=""),"",COUNTIFS(Diario!$B$2:$B$301,$B49,Diario!$A$2:$A$301,"&gt;="&amp;$A49,Diario!$A$2:$A$301,"&lt;"&amp;$A49+7,Diario!$I$2:$I$301,"&gt;0"))</f>
        <v/>
      </c>
      <c r="I49" s="9">
        <f>IF(OR(G49="",G49=0),"",H49/G49)</f>
        <v/>
      </c>
      <c r="J49" s="13">
        <f>IF(OR(A49="",B49=""),"",SUMIFS(Diario!$K$2:$K$301,Diario!$B$2:$B$301,$B49,Diario!$A$2:$A$301,"&gt;="&amp;$A49,Diario!$A$2:$A$301,"&lt;"&amp;$A49+7))</f>
        <v/>
      </c>
      <c r="K49" s="8">
        <f>IF(OR(D49="",B49=""),"",IFERROR(IF(INDEX(Cuentas!$J$2:$J$21,MATCH(B49,Cuentas!$A$2:$A$21,0))="","",D49-INDEX(Cuentas!$J$2:$J$21,MATCH(B49,Cuentas!$A$2:$A$21,0))),""))</f>
        <v/>
      </c>
      <c r="L49" s="6" t="n"/>
    </row>
    <row r="50">
      <c r="A50" s="12" t="n"/>
      <c r="B50" s="6" t="n"/>
      <c r="C50" s="7" t="n"/>
      <c r="D50" s="7" t="n"/>
      <c r="E50" s="8">
        <f>IF(OR(C50="",D50=""),"",D50-C50)</f>
        <v/>
      </c>
      <c r="F50" s="9">
        <f>IF(OR(C50="",D50="",C50=0),"",E50/C50)</f>
        <v/>
      </c>
      <c r="G50" s="14">
        <f>IF(OR(A50="",B50=""),"",COUNTIFS(Diario!$B$2:$B$301,$B50,Diario!$A$2:$A$301,"&gt;="&amp;$A50,Diario!$A$2:$A$301,"&lt;"&amp;$A50+7))</f>
        <v/>
      </c>
      <c r="H50" s="14">
        <f>IF(OR(A50="",B50=""),"",COUNTIFS(Diario!$B$2:$B$301,$B50,Diario!$A$2:$A$301,"&gt;="&amp;$A50,Diario!$A$2:$A$301,"&lt;"&amp;$A50+7,Diario!$I$2:$I$301,"&gt;0"))</f>
        <v/>
      </c>
      <c r="I50" s="9">
        <f>IF(OR(G50="",G50=0),"",H50/G50)</f>
        <v/>
      </c>
      <c r="J50" s="13">
        <f>IF(OR(A50="",B50=""),"",SUMIFS(Diario!$K$2:$K$301,Diario!$B$2:$B$301,$B50,Diario!$A$2:$A$301,"&gt;="&amp;$A50,Diario!$A$2:$A$301,"&lt;"&amp;$A50+7))</f>
        <v/>
      </c>
      <c r="K50" s="8">
        <f>IF(OR(D50="",B50=""),"",IFERROR(IF(INDEX(Cuentas!$J$2:$J$21,MATCH(B50,Cuentas!$A$2:$A$21,0))="","",D50-INDEX(Cuentas!$J$2:$J$21,MATCH(B50,Cuentas!$A$2:$A$21,0))),""))</f>
        <v/>
      </c>
      <c r="L50" s="6" t="n"/>
    </row>
    <row r="51">
      <c r="A51" s="12" t="n"/>
      <c r="B51" s="6" t="n"/>
      <c r="C51" s="7" t="n"/>
      <c r="D51" s="7" t="n"/>
      <c r="E51" s="8">
        <f>IF(OR(C51="",D51=""),"",D51-C51)</f>
        <v/>
      </c>
      <c r="F51" s="9">
        <f>IF(OR(C51="",D51="",C51=0),"",E51/C51)</f>
        <v/>
      </c>
      <c r="G51" s="14">
        <f>IF(OR(A51="",B51=""),"",COUNTIFS(Diario!$B$2:$B$301,$B51,Diario!$A$2:$A$301,"&gt;="&amp;$A51,Diario!$A$2:$A$301,"&lt;"&amp;$A51+7))</f>
        <v/>
      </c>
      <c r="H51" s="14">
        <f>IF(OR(A51="",B51=""),"",COUNTIFS(Diario!$B$2:$B$301,$B51,Diario!$A$2:$A$301,"&gt;="&amp;$A51,Diario!$A$2:$A$301,"&lt;"&amp;$A51+7,Diario!$I$2:$I$301,"&gt;0"))</f>
        <v/>
      </c>
      <c r="I51" s="9">
        <f>IF(OR(G51="",G51=0),"",H51/G51)</f>
        <v/>
      </c>
      <c r="J51" s="13">
        <f>IF(OR(A51="",B51=""),"",SUMIFS(Diario!$K$2:$K$301,Diario!$B$2:$B$301,$B51,Diario!$A$2:$A$301,"&gt;="&amp;$A51,Diario!$A$2:$A$301,"&lt;"&amp;$A51+7))</f>
        <v/>
      </c>
      <c r="K51" s="8">
        <f>IF(OR(D51="",B51=""),"",IFERROR(IF(INDEX(Cuentas!$J$2:$J$21,MATCH(B51,Cuentas!$A$2:$A$21,0))="","",D51-INDEX(Cuentas!$J$2:$J$21,MATCH(B51,Cuentas!$A$2:$A$21,0))),""))</f>
        <v/>
      </c>
      <c r="L51" s="6" t="n"/>
    </row>
    <row r="52">
      <c r="A52" s="12" t="n"/>
      <c r="B52" s="6" t="n"/>
      <c r="C52" s="7" t="n"/>
      <c r="D52" s="7" t="n"/>
      <c r="E52" s="8">
        <f>IF(OR(C52="",D52=""),"",D52-C52)</f>
        <v/>
      </c>
      <c r="F52" s="9">
        <f>IF(OR(C52="",D52="",C52=0),"",E52/C52)</f>
        <v/>
      </c>
      <c r="G52" s="14">
        <f>IF(OR(A52="",B52=""),"",COUNTIFS(Diario!$B$2:$B$301,$B52,Diario!$A$2:$A$301,"&gt;="&amp;$A52,Diario!$A$2:$A$301,"&lt;"&amp;$A52+7))</f>
        <v/>
      </c>
      <c r="H52" s="14">
        <f>IF(OR(A52="",B52=""),"",COUNTIFS(Diario!$B$2:$B$301,$B52,Diario!$A$2:$A$301,"&gt;="&amp;$A52,Diario!$A$2:$A$301,"&lt;"&amp;$A52+7,Diario!$I$2:$I$301,"&gt;0"))</f>
        <v/>
      </c>
      <c r="I52" s="9">
        <f>IF(OR(G52="",G52=0),"",H52/G52)</f>
        <v/>
      </c>
      <c r="J52" s="13">
        <f>IF(OR(A52="",B52=""),"",SUMIFS(Diario!$K$2:$K$301,Diario!$B$2:$B$301,$B52,Diario!$A$2:$A$301,"&gt;="&amp;$A52,Diario!$A$2:$A$301,"&lt;"&amp;$A52+7))</f>
        <v/>
      </c>
      <c r="K52" s="8">
        <f>IF(OR(D52="",B52=""),"",IFERROR(IF(INDEX(Cuentas!$J$2:$J$21,MATCH(B52,Cuentas!$A$2:$A$21,0))="","",D52-INDEX(Cuentas!$J$2:$J$21,MATCH(B52,Cuentas!$A$2:$A$21,0))),""))</f>
        <v/>
      </c>
      <c r="L52" s="6" t="n"/>
    </row>
    <row r="53">
      <c r="A53" s="12" t="n"/>
      <c r="B53" s="6" t="n"/>
      <c r="C53" s="7" t="n"/>
      <c r="D53" s="7" t="n"/>
      <c r="E53" s="8">
        <f>IF(OR(C53="",D53=""),"",D53-C53)</f>
        <v/>
      </c>
      <c r="F53" s="9">
        <f>IF(OR(C53="",D53="",C53=0),"",E53/C53)</f>
        <v/>
      </c>
      <c r="G53" s="14">
        <f>IF(OR(A53="",B53=""),"",COUNTIFS(Diario!$B$2:$B$301,$B53,Diario!$A$2:$A$301,"&gt;="&amp;$A53,Diario!$A$2:$A$301,"&lt;"&amp;$A53+7))</f>
        <v/>
      </c>
      <c r="H53" s="14">
        <f>IF(OR(A53="",B53=""),"",COUNTIFS(Diario!$B$2:$B$301,$B53,Diario!$A$2:$A$301,"&gt;="&amp;$A53,Diario!$A$2:$A$301,"&lt;"&amp;$A53+7,Diario!$I$2:$I$301,"&gt;0"))</f>
        <v/>
      </c>
      <c r="I53" s="9">
        <f>IF(OR(G53="",G53=0),"",H53/G53)</f>
        <v/>
      </c>
      <c r="J53" s="13">
        <f>IF(OR(A53="",B53=""),"",SUMIFS(Diario!$K$2:$K$301,Diario!$B$2:$B$301,$B53,Diario!$A$2:$A$301,"&gt;="&amp;$A53,Diario!$A$2:$A$301,"&lt;"&amp;$A53+7))</f>
        <v/>
      </c>
      <c r="K53" s="8">
        <f>IF(OR(D53="",B53=""),"",IFERROR(IF(INDEX(Cuentas!$J$2:$J$21,MATCH(B53,Cuentas!$A$2:$A$21,0))="","",D53-INDEX(Cuentas!$J$2:$J$21,MATCH(B53,Cuentas!$A$2:$A$21,0))),""))</f>
        <v/>
      </c>
      <c r="L53" s="6" t="n"/>
    </row>
    <row r="54">
      <c r="A54" s="12" t="n"/>
      <c r="B54" s="6" t="n"/>
      <c r="C54" s="7" t="n"/>
      <c r="D54" s="7" t="n"/>
      <c r="E54" s="8">
        <f>IF(OR(C54="",D54=""),"",D54-C54)</f>
        <v/>
      </c>
      <c r="F54" s="9">
        <f>IF(OR(C54="",D54="",C54=0),"",E54/C54)</f>
        <v/>
      </c>
      <c r="G54" s="14">
        <f>IF(OR(A54="",B54=""),"",COUNTIFS(Diario!$B$2:$B$301,$B54,Diario!$A$2:$A$301,"&gt;="&amp;$A54,Diario!$A$2:$A$301,"&lt;"&amp;$A54+7))</f>
        <v/>
      </c>
      <c r="H54" s="14">
        <f>IF(OR(A54="",B54=""),"",COUNTIFS(Diario!$B$2:$B$301,$B54,Diario!$A$2:$A$301,"&gt;="&amp;$A54,Diario!$A$2:$A$301,"&lt;"&amp;$A54+7,Diario!$I$2:$I$301,"&gt;0"))</f>
        <v/>
      </c>
      <c r="I54" s="9">
        <f>IF(OR(G54="",G54=0),"",H54/G54)</f>
        <v/>
      </c>
      <c r="J54" s="13">
        <f>IF(OR(A54="",B54=""),"",SUMIFS(Diario!$K$2:$K$301,Diario!$B$2:$B$301,$B54,Diario!$A$2:$A$301,"&gt;="&amp;$A54,Diario!$A$2:$A$301,"&lt;"&amp;$A54+7))</f>
        <v/>
      </c>
      <c r="K54" s="8">
        <f>IF(OR(D54="",B54=""),"",IFERROR(IF(INDEX(Cuentas!$J$2:$J$21,MATCH(B54,Cuentas!$A$2:$A$21,0))="","",D54-INDEX(Cuentas!$J$2:$J$21,MATCH(B54,Cuentas!$A$2:$A$21,0))),""))</f>
        <v/>
      </c>
      <c r="L54" s="6" t="n"/>
    </row>
    <row r="55">
      <c r="A55" s="12" t="n"/>
      <c r="B55" s="6" t="n"/>
      <c r="C55" s="7" t="n"/>
      <c r="D55" s="7" t="n"/>
      <c r="E55" s="8">
        <f>IF(OR(C55="",D55=""),"",D55-C55)</f>
        <v/>
      </c>
      <c r="F55" s="9">
        <f>IF(OR(C55="",D55="",C55=0),"",E55/C55)</f>
        <v/>
      </c>
      <c r="G55" s="14">
        <f>IF(OR(A55="",B55=""),"",COUNTIFS(Diario!$B$2:$B$301,$B55,Diario!$A$2:$A$301,"&gt;="&amp;$A55,Diario!$A$2:$A$301,"&lt;"&amp;$A55+7))</f>
        <v/>
      </c>
      <c r="H55" s="14">
        <f>IF(OR(A55="",B55=""),"",COUNTIFS(Diario!$B$2:$B$301,$B55,Diario!$A$2:$A$301,"&gt;="&amp;$A55,Diario!$A$2:$A$301,"&lt;"&amp;$A55+7,Diario!$I$2:$I$301,"&gt;0"))</f>
        <v/>
      </c>
      <c r="I55" s="9">
        <f>IF(OR(G55="",G55=0),"",H55/G55)</f>
        <v/>
      </c>
      <c r="J55" s="13">
        <f>IF(OR(A55="",B55=""),"",SUMIFS(Diario!$K$2:$K$301,Diario!$B$2:$B$301,$B55,Diario!$A$2:$A$301,"&gt;="&amp;$A55,Diario!$A$2:$A$301,"&lt;"&amp;$A55+7))</f>
        <v/>
      </c>
      <c r="K55" s="8">
        <f>IF(OR(D55="",B55=""),"",IFERROR(IF(INDEX(Cuentas!$J$2:$J$21,MATCH(B55,Cuentas!$A$2:$A$21,0))="","",D55-INDEX(Cuentas!$J$2:$J$21,MATCH(B55,Cuentas!$A$2:$A$21,0))),""))</f>
        <v/>
      </c>
      <c r="L55" s="6" t="n"/>
    </row>
    <row r="56">
      <c r="A56" s="12" t="n"/>
      <c r="B56" s="6" t="n"/>
      <c r="C56" s="7" t="n"/>
      <c r="D56" s="7" t="n"/>
      <c r="E56" s="8">
        <f>IF(OR(C56="",D56=""),"",D56-C56)</f>
        <v/>
      </c>
      <c r="F56" s="9">
        <f>IF(OR(C56="",D56="",C56=0),"",E56/C56)</f>
        <v/>
      </c>
      <c r="G56" s="14">
        <f>IF(OR(A56="",B56=""),"",COUNTIFS(Diario!$B$2:$B$301,$B56,Diario!$A$2:$A$301,"&gt;="&amp;$A56,Diario!$A$2:$A$301,"&lt;"&amp;$A56+7))</f>
        <v/>
      </c>
      <c r="H56" s="14">
        <f>IF(OR(A56="",B56=""),"",COUNTIFS(Diario!$B$2:$B$301,$B56,Diario!$A$2:$A$301,"&gt;="&amp;$A56,Diario!$A$2:$A$301,"&lt;"&amp;$A56+7,Diario!$I$2:$I$301,"&gt;0"))</f>
        <v/>
      </c>
      <c r="I56" s="9">
        <f>IF(OR(G56="",G56=0),"",H56/G56)</f>
        <v/>
      </c>
      <c r="J56" s="13">
        <f>IF(OR(A56="",B56=""),"",SUMIFS(Diario!$K$2:$K$301,Diario!$B$2:$B$301,$B56,Diario!$A$2:$A$301,"&gt;="&amp;$A56,Diario!$A$2:$A$301,"&lt;"&amp;$A56+7))</f>
        <v/>
      </c>
      <c r="K56" s="8">
        <f>IF(OR(D56="",B56=""),"",IFERROR(IF(INDEX(Cuentas!$J$2:$J$21,MATCH(B56,Cuentas!$A$2:$A$21,0))="","",D56-INDEX(Cuentas!$J$2:$J$21,MATCH(B56,Cuentas!$A$2:$A$21,0))),""))</f>
        <v/>
      </c>
      <c r="L56" s="6" t="n"/>
    </row>
    <row r="57">
      <c r="A57" s="12" t="n"/>
      <c r="B57" s="6" t="n"/>
      <c r="C57" s="7" t="n"/>
      <c r="D57" s="7" t="n"/>
      <c r="E57" s="8">
        <f>IF(OR(C57="",D57=""),"",D57-C57)</f>
        <v/>
      </c>
      <c r="F57" s="9">
        <f>IF(OR(C57="",D57="",C57=0),"",E57/C57)</f>
        <v/>
      </c>
      <c r="G57" s="14">
        <f>IF(OR(A57="",B57=""),"",COUNTIFS(Diario!$B$2:$B$301,$B57,Diario!$A$2:$A$301,"&gt;="&amp;$A57,Diario!$A$2:$A$301,"&lt;"&amp;$A57+7))</f>
        <v/>
      </c>
      <c r="H57" s="14">
        <f>IF(OR(A57="",B57=""),"",COUNTIFS(Diario!$B$2:$B$301,$B57,Diario!$A$2:$A$301,"&gt;="&amp;$A57,Diario!$A$2:$A$301,"&lt;"&amp;$A57+7,Diario!$I$2:$I$301,"&gt;0"))</f>
        <v/>
      </c>
      <c r="I57" s="9">
        <f>IF(OR(G57="",G57=0),"",H57/G57)</f>
        <v/>
      </c>
      <c r="J57" s="13">
        <f>IF(OR(A57="",B57=""),"",SUMIFS(Diario!$K$2:$K$301,Diario!$B$2:$B$301,$B57,Diario!$A$2:$A$301,"&gt;="&amp;$A57,Diario!$A$2:$A$301,"&lt;"&amp;$A57+7))</f>
        <v/>
      </c>
      <c r="K57" s="8">
        <f>IF(OR(D57="",B57=""),"",IFERROR(IF(INDEX(Cuentas!$J$2:$J$21,MATCH(B57,Cuentas!$A$2:$A$21,0))="","",D57-INDEX(Cuentas!$J$2:$J$21,MATCH(B57,Cuentas!$A$2:$A$21,0))),""))</f>
        <v/>
      </c>
      <c r="L57" s="6" t="n"/>
    </row>
    <row r="58">
      <c r="A58" s="12" t="n"/>
      <c r="B58" s="6" t="n"/>
      <c r="C58" s="7" t="n"/>
      <c r="D58" s="7" t="n"/>
      <c r="E58" s="8">
        <f>IF(OR(C58="",D58=""),"",D58-C58)</f>
        <v/>
      </c>
      <c r="F58" s="9">
        <f>IF(OR(C58="",D58="",C58=0),"",E58/C58)</f>
        <v/>
      </c>
      <c r="G58" s="14">
        <f>IF(OR(A58="",B58=""),"",COUNTIFS(Diario!$B$2:$B$301,$B58,Diario!$A$2:$A$301,"&gt;="&amp;$A58,Diario!$A$2:$A$301,"&lt;"&amp;$A58+7))</f>
        <v/>
      </c>
      <c r="H58" s="14">
        <f>IF(OR(A58="",B58=""),"",COUNTIFS(Diario!$B$2:$B$301,$B58,Diario!$A$2:$A$301,"&gt;="&amp;$A58,Diario!$A$2:$A$301,"&lt;"&amp;$A58+7,Diario!$I$2:$I$301,"&gt;0"))</f>
        <v/>
      </c>
      <c r="I58" s="9">
        <f>IF(OR(G58="",G58=0),"",H58/G58)</f>
        <v/>
      </c>
      <c r="J58" s="13">
        <f>IF(OR(A58="",B58=""),"",SUMIFS(Diario!$K$2:$K$301,Diario!$B$2:$B$301,$B58,Diario!$A$2:$A$301,"&gt;="&amp;$A58,Diario!$A$2:$A$301,"&lt;"&amp;$A58+7))</f>
        <v/>
      </c>
      <c r="K58" s="8">
        <f>IF(OR(D58="",B58=""),"",IFERROR(IF(INDEX(Cuentas!$J$2:$J$21,MATCH(B58,Cuentas!$A$2:$A$21,0))="","",D58-INDEX(Cuentas!$J$2:$J$21,MATCH(B58,Cuentas!$A$2:$A$21,0))),""))</f>
        <v/>
      </c>
      <c r="L58" s="6" t="n"/>
    </row>
    <row r="59">
      <c r="A59" s="12" t="n"/>
      <c r="B59" s="6" t="n"/>
      <c r="C59" s="7" t="n"/>
      <c r="D59" s="7" t="n"/>
      <c r="E59" s="8">
        <f>IF(OR(C59="",D59=""),"",D59-C59)</f>
        <v/>
      </c>
      <c r="F59" s="9">
        <f>IF(OR(C59="",D59="",C59=0),"",E59/C59)</f>
        <v/>
      </c>
      <c r="G59" s="14">
        <f>IF(OR(A59="",B59=""),"",COUNTIFS(Diario!$B$2:$B$301,$B59,Diario!$A$2:$A$301,"&gt;="&amp;$A59,Diario!$A$2:$A$301,"&lt;"&amp;$A59+7))</f>
        <v/>
      </c>
      <c r="H59" s="14">
        <f>IF(OR(A59="",B59=""),"",COUNTIFS(Diario!$B$2:$B$301,$B59,Diario!$A$2:$A$301,"&gt;="&amp;$A59,Diario!$A$2:$A$301,"&lt;"&amp;$A59+7,Diario!$I$2:$I$301,"&gt;0"))</f>
        <v/>
      </c>
      <c r="I59" s="9">
        <f>IF(OR(G59="",G59=0),"",H59/G59)</f>
        <v/>
      </c>
      <c r="J59" s="13">
        <f>IF(OR(A59="",B59=""),"",SUMIFS(Diario!$K$2:$K$301,Diario!$B$2:$B$301,$B59,Diario!$A$2:$A$301,"&gt;="&amp;$A59,Diario!$A$2:$A$301,"&lt;"&amp;$A59+7))</f>
        <v/>
      </c>
      <c r="K59" s="8">
        <f>IF(OR(D59="",B59=""),"",IFERROR(IF(INDEX(Cuentas!$J$2:$J$21,MATCH(B59,Cuentas!$A$2:$A$21,0))="","",D59-INDEX(Cuentas!$J$2:$J$21,MATCH(B59,Cuentas!$A$2:$A$21,0))),""))</f>
        <v/>
      </c>
      <c r="L59" s="6" t="n"/>
    </row>
    <row r="60">
      <c r="A60" s="12" t="n"/>
      <c r="B60" s="6" t="n"/>
      <c r="C60" s="7" t="n"/>
      <c r="D60" s="7" t="n"/>
      <c r="E60" s="8">
        <f>IF(OR(C60="",D60=""),"",D60-C60)</f>
        <v/>
      </c>
      <c r="F60" s="9">
        <f>IF(OR(C60="",D60="",C60=0),"",E60/C60)</f>
        <v/>
      </c>
      <c r="G60" s="14">
        <f>IF(OR(A60="",B60=""),"",COUNTIFS(Diario!$B$2:$B$301,$B60,Diario!$A$2:$A$301,"&gt;="&amp;$A60,Diario!$A$2:$A$301,"&lt;"&amp;$A60+7))</f>
        <v/>
      </c>
      <c r="H60" s="14">
        <f>IF(OR(A60="",B60=""),"",COUNTIFS(Diario!$B$2:$B$301,$B60,Diario!$A$2:$A$301,"&gt;="&amp;$A60,Diario!$A$2:$A$301,"&lt;"&amp;$A60+7,Diario!$I$2:$I$301,"&gt;0"))</f>
        <v/>
      </c>
      <c r="I60" s="9">
        <f>IF(OR(G60="",G60=0),"",H60/G60)</f>
        <v/>
      </c>
      <c r="J60" s="13">
        <f>IF(OR(A60="",B60=""),"",SUMIFS(Diario!$K$2:$K$301,Diario!$B$2:$B$301,$B60,Diario!$A$2:$A$301,"&gt;="&amp;$A60,Diario!$A$2:$A$301,"&lt;"&amp;$A60+7))</f>
        <v/>
      </c>
      <c r="K60" s="8">
        <f>IF(OR(D60="",B60=""),"",IFERROR(IF(INDEX(Cuentas!$J$2:$J$21,MATCH(B60,Cuentas!$A$2:$A$21,0))="","",D60-INDEX(Cuentas!$J$2:$J$21,MATCH(B60,Cuentas!$A$2:$A$21,0))),""))</f>
        <v/>
      </c>
      <c r="L60" s="6" t="n"/>
    </row>
    <row r="61">
      <c r="A61" s="12" t="n"/>
      <c r="B61" s="6" t="n"/>
      <c r="C61" s="7" t="n"/>
      <c r="D61" s="7" t="n"/>
      <c r="E61" s="8">
        <f>IF(OR(C61="",D61=""),"",D61-C61)</f>
        <v/>
      </c>
      <c r="F61" s="9">
        <f>IF(OR(C61="",D61="",C61=0),"",E61/C61)</f>
        <v/>
      </c>
      <c r="G61" s="14">
        <f>IF(OR(A61="",B61=""),"",COUNTIFS(Diario!$B$2:$B$301,$B61,Diario!$A$2:$A$301,"&gt;="&amp;$A61,Diario!$A$2:$A$301,"&lt;"&amp;$A61+7))</f>
        <v/>
      </c>
      <c r="H61" s="14">
        <f>IF(OR(A61="",B61=""),"",COUNTIFS(Diario!$B$2:$B$301,$B61,Diario!$A$2:$A$301,"&gt;="&amp;$A61,Diario!$A$2:$A$301,"&lt;"&amp;$A61+7,Diario!$I$2:$I$301,"&gt;0"))</f>
        <v/>
      </c>
      <c r="I61" s="9">
        <f>IF(OR(G61="",G61=0),"",H61/G61)</f>
        <v/>
      </c>
      <c r="J61" s="13">
        <f>IF(OR(A61="",B61=""),"",SUMIFS(Diario!$K$2:$K$301,Diario!$B$2:$B$301,$B61,Diario!$A$2:$A$301,"&gt;="&amp;$A61,Diario!$A$2:$A$301,"&lt;"&amp;$A61+7))</f>
        <v/>
      </c>
      <c r="K61" s="8">
        <f>IF(OR(D61="",B61=""),"",IFERROR(IF(INDEX(Cuentas!$J$2:$J$21,MATCH(B61,Cuentas!$A$2:$A$21,0))="","",D61-INDEX(Cuentas!$J$2:$J$21,MATCH(B61,Cuentas!$A$2:$A$21,0))),""))</f>
        <v/>
      </c>
      <c r="L61" s="6" t="n"/>
    </row>
    <row r="62">
      <c r="A62" s="12" t="n"/>
      <c r="B62" s="6" t="n"/>
      <c r="C62" s="7" t="n"/>
      <c r="D62" s="7" t="n"/>
      <c r="E62" s="8">
        <f>IF(OR(C62="",D62=""),"",D62-C62)</f>
        <v/>
      </c>
      <c r="F62" s="9">
        <f>IF(OR(C62="",D62="",C62=0),"",E62/C62)</f>
        <v/>
      </c>
      <c r="G62" s="14">
        <f>IF(OR(A62="",B62=""),"",COUNTIFS(Diario!$B$2:$B$301,$B62,Diario!$A$2:$A$301,"&gt;="&amp;$A62,Diario!$A$2:$A$301,"&lt;"&amp;$A62+7))</f>
        <v/>
      </c>
      <c r="H62" s="14">
        <f>IF(OR(A62="",B62=""),"",COUNTIFS(Diario!$B$2:$B$301,$B62,Diario!$A$2:$A$301,"&gt;="&amp;$A62,Diario!$A$2:$A$301,"&lt;"&amp;$A62+7,Diario!$I$2:$I$301,"&gt;0"))</f>
        <v/>
      </c>
      <c r="I62" s="9">
        <f>IF(OR(G62="",G62=0),"",H62/G62)</f>
        <v/>
      </c>
      <c r="J62" s="13">
        <f>IF(OR(A62="",B62=""),"",SUMIFS(Diario!$K$2:$K$301,Diario!$B$2:$B$301,$B62,Diario!$A$2:$A$301,"&gt;="&amp;$A62,Diario!$A$2:$A$301,"&lt;"&amp;$A62+7))</f>
        <v/>
      </c>
      <c r="K62" s="8">
        <f>IF(OR(D62="",B62=""),"",IFERROR(IF(INDEX(Cuentas!$J$2:$J$21,MATCH(B62,Cuentas!$A$2:$A$21,0))="","",D62-INDEX(Cuentas!$J$2:$J$21,MATCH(B62,Cuentas!$A$2:$A$21,0))),""))</f>
        <v/>
      </c>
      <c r="L62" s="6" t="n"/>
    </row>
    <row r="63">
      <c r="A63" s="12" t="n"/>
      <c r="B63" s="6" t="n"/>
      <c r="C63" s="7" t="n"/>
      <c r="D63" s="7" t="n"/>
      <c r="E63" s="8">
        <f>IF(OR(C63="",D63=""),"",D63-C63)</f>
        <v/>
      </c>
      <c r="F63" s="9">
        <f>IF(OR(C63="",D63="",C63=0),"",E63/C63)</f>
        <v/>
      </c>
      <c r="G63" s="14">
        <f>IF(OR(A63="",B63=""),"",COUNTIFS(Diario!$B$2:$B$301,$B63,Diario!$A$2:$A$301,"&gt;="&amp;$A63,Diario!$A$2:$A$301,"&lt;"&amp;$A63+7))</f>
        <v/>
      </c>
      <c r="H63" s="14">
        <f>IF(OR(A63="",B63=""),"",COUNTIFS(Diario!$B$2:$B$301,$B63,Diario!$A$2:$A$301,"&gt;="&amp;$A63,Diario!$A$2:$A$301,"&lt;"&amp;$A63+7,Diario!$I$2:$I$301,"&gt;0"))</f>
        <v/>
      </c>
      <c r="I63" s="9">
        <f>IF(OR(G63="",G63=0),"",H63/G63)</f>
        <v/>
      </c>
      <c r="J63" s="13">
        <f>IF(OR(A63="",B63=""),"",SUMIFS(Diario!$K$2:$K$301,Diario!$B$2:$B$301,$B63,Diario!$A$2:$A$301,"&gt;="&amp;$A63,Diario!$A$2:$A$301,"&lt;"&amp;$A63+7))</f>
        <v/>
      </c>
      <c r="K63" s="8">
        <f>IF(OR(D63="",B63=""),"",IFERROR(IF(INDEX(Cuentas!$J$2:$J$21,MATCH(B63,Cuentas!$A$2:$A$21,0))="","",D63-INDEX(Cuentas!$J$2:$J$21,MATCH(B63,Cuentas!$A$2:$A$21,0))),""))</f>
        <v/>
      </c>
      <c r="L63" s="6" t="n"/>
    </row>
    <row r="64">
      <c r="A64" s="12" t="n"/>
      <c r="B64" s="6" t="n"/>
      <c r="C64" s="7" t="n"/>
      <c r="D64" s="7" t="n"/>
      <c r="E64" s="8">
        <f>IF(OR(C64="",D64=""),"",D64-C64)</f>
        <v/>
      </c>
      <c r="F64" s="9">
        <f>IF(OR(C64="",D64="",C64=0),"",E64/C64)</f>
        <v/>
      </c>
      <c r="G64" s="14">
        <f>IF(OR(A64="",B64=""),"",COUNTIFS(Diario!$B$2:$B$301,$B64,Diario!$A$2:$A$301,"&gt;="&amp;$A64,Diario!$A$2:$A$301,"&lt;"&amp;$A64+7))</f>
        <v/>
      </c>
      <c r="H64" s="14">
        <f>IF(OR(A64="",B64=""),"",COUNTIFS(Diario!$B$2:$B$301,$B64,Diario!$A$2:$A$301,"&gt;="&amp;$A64,Diario!$A$2:$A$301,"&lt;"&amp;$A64+7,Diario!$I$2:$I$301,"&gt;0"))</f>
        <v/>
      </c>
      <c r="I64" s="9">
        <f>IF(OR(G64="",G64=0),"",H64/G64)</f>
        <v/>
      </c>
      <c r="J64" s="13">
        <f>IF(OR(A64="",B64=""),"",SUMIFS(Diario!$K$2:$K$301,Diario!$B$2:$B$301,$B64,Diario!$A$2:$A$301,"&gt;="&amp;$A64,Diario!$A$2:$A$301,"&lt;"&amp;$A64+7))</f>
        <v/>
      </c>
      <c r="K64" s="8">
        <f>IF(OR(D64="",B64=""),"",IFERROR(IF(INDEX(Cuentas!$J$2:$J$21,MATCH(B64,Cuentas!$A$2:$A$21,0))="","",D64-INDEX(Cuentas!$J$2:$J$21,MATCH(B64,Cuentas!$A$2:$A$21,0))),""))</f>
        <v/>
      </c>
      <c r="L64" s="6" t="n"/>
    </row>
    <row r="65">
      <c r="A65" s="12" t="n"/>
      <c r="B65" s="6" t="n"/>
      <c r="C65" s="7" t="n"/>
      <c r="D65" s="7" t="n"/>
      <c r="E65" s="8">
        <f>IF(OR(C65="",D65=""),"",D65-C65)</f>
        <v/>
      </c>
      <c r="F65" s="9">
        <f>IF(OR(C65="",D65="",C65=0),"",E65/C65)</f>
        <v/>
      </c>
      <c r="G65" s="14">
        <f>IF(OR(A65="",B65=""),"",COUNTIFS(Diario!$B$2:$B$301,$B65,Diario!$A$2:$A$301,"&gt;="&amp;$A65,Diario!$A$2:$A$301,"&lt;"&amp;$A65+7))</f>
        <v/>
      </c>
      <c r="H65" s="14">
        <f>IF(OR(A65="",B65=""),"",COUNTIFS(Diario!$B$2:$B$301,$B65,Diario!$A$2:$A$301,"&gt;="&amp;$A65,Diario!$A$2:$A$301,"&lt;"&amp;$A65+7,Diario!$I$2:$I$301,"&gt;0"))</f>
        <v/>
      </c>
      <c r="I65" s="9">
        <f>IF(OR(G65="",G65=0),"",H65/G65)</f>
        <v/>
      </c>
      <c r="J65" s="13">
        <f>IF(OR(A65="",B65=""),"",SUMIFS(Diario!$K$2:$K$301,Diario!$B$2:$B$301,$B65,Diario!$A$2:$A$301,"&gt;="&amp;$A65,Diario!$A$2:$A$301,"&lt;"&amp;$A65+7))</f>
        <v/>
      </c>
      <c r="K65" s="8">
        <f>IF(OR(D65="",B65=""),"",IFERROR(IF(INDEX(Cuentas!$J$2:$J$21,MATCH(B65,Cuentas!$A$2:$A$21,0))="","",D65-INDEX(Cuentas!$J$2:$J$21,MATCH(B65,Cuentas!$A$2:$A$21,0))),""))</f>
        <v/>
      </c>
      <c r="L65" s="6" t="n"/>
    </row>
    <row r="66">
      <c r="A66" s="12" t="n"/>
      <c r="B66" s="6" t="n"/>
      <c r="C66" s="7" t="n"/>
      <c r="D66" s="7" t="n"/>
      <c r="E66" s="8">
        <f>IF(OR(C66="",D66=""),"",D66-C66)</f>
        <v/>
      </c>
      <c r="F66" s="9">
        <f>IF(OR(C66="",D66="",C66=0),"",E66/C66)</f>
        <v/>
      </c>
      <c r="G66" s="14">
        <f>IF(OR(A66="",B66=""),"",COUNTIFS(Diario!$B$2:$B$301,$B66,Diario!$A$2:$A$301,"&gt;="&amp;$A66,Diario!$A$2:$A$301,"&lt;"&amp;$A66+7))</f>
        <v/>
      </c>
      <c r="H66" s="14">
        <f>IF(OR(A66="",B66=""),"",COUNTIFS(Diario!$B$2:$B$301,$B66,Diario!$A$2:$A$301,"&gt;="&amp;$A66,Diario!$A$2:$A$301,"&lt;"&amp;$A66+7,Diario!$I$2:$I$301,"&gt;0"))</f>
        <v/>
      </c>
      <c r="I66" s="9">
        <f>IF(OR(G66="",G66=0),"",H66/G66)</f>
        <v/>
      </c>
      <c r="J66" s="13">
        <f>IF(OR(A66="",B66=""),"",SUMIFS(Diario!$K$2:$K$301,Diario!$B$2:$B$301,$B66,Diario!$A$2:$A$301,"&gt;="&amp;$A66,Diario!$A$2:$A$301,"&lt;"&amp;$A66+7))</f>
        <v/>
      </c>
      <c r="K66" s="8">
        <f>IF(OR(D66="",B66=""),"",IFERROR(IF(INDEX(Cuentas!$J$2:$J$21,MATCH(B66,Cuentas!$A$2:$A$21,0))="","",D66-INDEX(Cuentas!$J$2:$J$21,MATCH(B66,Cuentas!$A$2:$A$21,0))),""))</f>
        <v/>
      </c>
      <c r="L66" s="6" t="n"/>
    </row>
    <row r="67">
      <c r="A67" s="12" t="n"/>
      <c r="B67" s="6" t="n"/>
      <c r="C67" s="7" t="n"/>
      <c r="D67" s="7" t="n"/>
      <c r="E67" s="8">
        <f>IF(OR(C67="",D67=""),"",D67-C67)</f>
        <v/>
      </c>
      <c r="F67" s="9">
        <f>IF(OR(C67="",D67="",C67=0),"",E67/C67)</f>
        <v/>
      </c>
      <c r="G67" s="14">
        <f>IF(OR(A67="",B67=""),"",COUNTIFS(Diario!$B$2:$B$301,$B67,Diario!$A$2:$A$301,"&gt;="&amp;$A67,Diario!$A$2:$A$301,"&lt;"&amp;$A67+7))</f>
        <v/>
      </c>
      <c r="H67" s="14">
        <f>IF(OR(A67="",B67=""),"",COUNTIFS(Diario!$B$2:$B$301,$B67,Diario!$A$2:$A$301,"&gt;="&amp;$A67,Diario!$A$2:$A$301,"&lt;"&amp;$A67+7,Diario!$I$2:$I$301,"&gt;0"))</f>
        <v/>
      </c>
      <c r="I67" s="9">
        <f>IF(OR(G67="",G67=0),"",H67/G67)</f>
        <v/>
      </c>
      <c r="J67" s="13">
        <f>IF(OR(A67="",B67=""),"",SUMIFS(Diario!$K$2:$K$301,Diario!$B$2:$B$301,$B67,Diario!$A$2:$A$301,"&gt;="&amp;$A67,Diario!$A$2:$A$301,"&lt;"&amp;$A67+7))</f>
        <v/>
      </c>
      <c r="K67" s="8">
        <f>IF(OR(D67="",B67=""),"",IFERROR(IF(INDEX(Cuentas!$J$2:$J$21,MATCH(B67,Cuentas!$A$2:$A$21,0))="","",D67-INDEX(Cuentas!$J$2:$J$21,MATCH(B67,Cuentas!$A$2:$A$21,0))),""))</f>
        <v/>
      </c>
      <c r="L67" s="6" t="n"/>
    </row>
    <row r="68">
      <c r="A68" s="12" t="n"/>
      <c r="B68" s="6" t="n"/>
      <c r="C68" s="7" t="n"/>
      <c r="D68" s="7" t="n"/>
      <c r="E68" s="8">
        <f>IF(OR(C68="",D68=""),"",D68-C68)</f>
        <v/>
      </c>
      <c r="F68" s="9">
        <f>IF(OR(C68="",D68="",C68=0),"",E68/C68)</f>
        <v/>
      </c>
      <c r="G68" s="14">
        <f>IF(OR(A68="",B68=""),"",COUNTIFS(Diario!$B$2:$B$301,$B68,Diario!$A$2:$A$301,"&gt;="&amp;$A68,Diario!$A$2:$A$301,"&lt;"&amp;$A68+7))</f>
        <v/>
      </c>
      <c r="H68" s="14">
        <f>IF(OR(A68="",B68=""),"",COUNTIFS(Diario!$B$2:$B$301,$B68,Diario!$A$2:$A$301,"&gt;="&amp;$A68,Diario!$A$2:$A$301,"&lt;"&amp;$A68+7,Diario!$I$2:$I$301,"&gt;0"))</f>
        <v/>
      </c>
      <c r="I68" s="9">
        <f>IF(OR(G68="",G68=0),"",H68/G68)</f>
        <v/>
      </c>
      <c r="J68" s="13">
        <f>IF(OR(A68="",B68=""),"",SUMIFS(Diario!$K$2:$K$301,Diario!$B$2:$B$301,$B68,Diario!$A$2:$A$301,"&gt;="&amp;$A68,Diario!$A$2:$A$301,"&lt;"&amp;$A68+7))</f>
        <v/>
      </c>
      <c r="K68" s="8">
        <f>IF(OR(D68="",B68=""),"",IFERROR(IF(INDEX(Cuentas!$J$2:$J$21,MATCH(B68,Cuentas!$A$2:$A$21,0))="","",D68-INDEX(Cuentas!$J$2:$J$21,MATCH(B68,Cuentas!$A$2:$A$21,0))),""))</f>
        <v/>
      </c>
      <c r="L68" s="6" t="n"/>
    </row>
    <row r="69">
      <c r="A69" s="12" t="n"/>
      <c r="B69" s="6" t="n"/>
      <c r="C69" s="7" t="n"/>
      <c r="D69" s="7" t="n"/>
      <c r="E69" s="8">
        <f>IF(OR(C69="",D69=""),"",D69-C69)</f>
        <v/>
      </c>
      <c r="F69" s="9">
        <f>IF(OR(C69="",D69="",C69=0),"",E69/C69)</f>
        <v/>
      </c>
      <c r="G69" s="14">
        <f>IF(OR(A69="",B69=""),"",COUNTIFS(Diario!$B$2:$B$301,$B69,Diario!$A$2:$A$301,"&gt;="&amp;$A69,Diario!$A$2:$A$301,"&lt;"&amp;$A69+7))</f>
        <v/>
      </c>
      <c r="H69" s="14">
        <f>IF(OR(A69="",B69=""),"",COUNTIFS(Diario!$B$2:$B$301,$B69,Diario!$A$2:$A$301,"&gt;="&amp;$A69,Diario!$A$2:$A$301,"&lt;"&amp;$A69+7,Diario!$I$2:$I$301,"&gt;0"))</f>
        <v/>
      </c>
      <c r="I69" s="9">
        <f>IF(OR(G69="",G69=0),"",H69/G69)</f>
        <v/>
      </c>
      <c r="J69" s="13">
        <f>IF(OR(A69="",B69=""),"",SUMIFS(Diario!$K$2:$K$301,Diario!$B$2:$B$301,$B69,Diario!$A$2:$A$301,"&gt;="&amp;$A69,Diario!$A$2:$A$301,"&lt;"&amp;$A69+7))</f>
        <v/>
      </c>
      <c r="K69" s="8">
        <f>IF(OR(D69="",B69=""),"",IFERROR(IF(INDEX(Cuentas!$J$2:$J$21,MATCH(B69,Cuentas!$A$2:$A$21,0))="","",D69-INDEX(Cuentas!$J$2:$J$21,MATCH(B69,Cuentas!$A$2:$A$21,0))),""))</f>
        <v/>
      </c>
      <c r="L69" s="6" t="n"/>
    </row>
    <row r="70">
      <c r="A70" s="12" t="n"/>
      <c r="B70" s="6" t="n"/>
      <c r="C70" s="7" t="n"/>
      <c r="D70" s="7" t="n"/>
      <c r="E70" s="8">
        <f>IF(OR(C70="",D70=""),"",D70-C70)</f>
        <v/>
      </c>
      <c r="F70" s="9">
        <f>IF(OR(C70="",D70="",C70=0),"",E70/C70)</f>
        <v/>
      </c>
      <c r="G70" s="14">
        <f>IF(OR(A70="",B70=""),"",COUNTIFS(Diario!$B$2:$B$301,$B70,Diario!$A$2:$A$301,"&gt;="&amp;$A70,Diario!$A$2:$A$301,"&lt;"&amp;$A70+7))</f>
        <v/>
      </c>
      <c r="H70" s="14">
        <f>IF(OR(A70="",B70=""),"",COUNTIFS(Diario!$B$2:$B$301,$B70,Diario!$A$2:$A$301,"&gt;="&amp;$A70,Diario!$A$2:$A$301,"&lt;"&amp;$A70+7,Diario!$I$2:$I$301,"&gt;0"))</f>
        <v/>
      </c>
      <c r="I70" s="9">
        <f>IF(OR(G70="",G70=0),"",H70/G70)</f>
        <v/>
      </c>
      <c r="J70" s="13">
        <f>IF(OR(A70="",B70=""),"",SUMIFS(Diario!$K$2:$K$301,Diario!$B$2:$B$301,$B70,Diario!$A$2:$A$301,"&gt;="&amp;$A70,Diario!$A$2:$A$301,"&lt;"&amp;$A70+7))</f>
        <v/>
      </c>
      <c r="K70" s="8">
        <f>IF(OR(D70="",B70=""),"",IFERROR(IF(INDEX(Cuentas!$J$2:$J$21,MATCH(B70,Cuentas!$A$2:$A$21,0))="","",D70-INDEX(Cuentas!$J$2:$J$21,MATCH(B70,Cuentas!$A$2:$A$21,0))),""))</f>
        <v/>
      </c>
      <c r="L70" s="6" t="n"/>
    </row>
    <row r="71">
      <c r="A71" s="12" t="n"/>
      <c r="B71" s="6" t="n"/>
      <c r="C71" s="7" t="n"/>
      <c r="D71" s="7" t="n"/>
      <c r="E71" s="8">
        <f>IF(OR(C71="",D71=""),"",D71-C71)</f>
        <v/>
      </c>
      <c r="F71" s="9">
        <f>IF(OR(C71="",D71="",C71=0),"",E71/C71)</f>
        <v/>
      </c>
      <c r="G71" s="14">
        <f>IF(OR(A71="",B71=""),"",COUNTIFS(Diario!$B$2:$B$301,$B71,Diario!$A$2:$A$301,"&gt;="&amp;$A71,Diario!$A$2:$A$301,"&lt;"&amp;$A71+7))</f>
        <v/>
      </c>
      <c r="H71" s="14">
        <f>IF(OR(A71="",B71=""),"",COUNTIFS(Diario!$B$2:$B$301,$B71,Diario!$A$2:$A$301,"&gt;="&amp;$A71,Diario!$A$2:$A$301,"&lt;"&amp;$A71+7,Diario!$I$2:$I$301,"&gt;0"))</f>
        <v/>
      </c>
      <c r="I71" s="9">
        <f>IF(OR(G71="",G71=0),"",H71/G71)</f>
        <v/>
      </c>
      <c r="J71" s="13">
        <f>IF(OR(A71="",B71=""),"",SUMIFS(Diario!$K$2:$K$301,Diario!$B$2:$B$301,$B71,Diario!$A$2:$A$301,"&gt;="&amp;$A71,Diario!$A$2:$A$301,"&lt;"&amp;$A71+7))</f>
        <v/>
      </c>
      <c r="K71" s="8">
        <f>IF(OR(D71="",B71=""),"",IFERROR(IF(INDEX(Cuentas!$J$2:$J$21,MATCH(B71,Cuentas!$A$2:$A$21,0))="","",D71-INDEX(Cuentas!$J$2:$J$21,MATCH(B71,Cuentas!$A$2:$A$21,0))),""))</f>
        <v/>
      </c>
      <c r="L71" s="6" t="n"/>
    </row>
    <row r="72">
      <c r="A72" s="12" t="n"/>
      <c r="B72" s="6" t="n"/>
      <c r="C72" s="7" t="n"/>
      <c r="D72" s="7" t="n"/>
      <c r="E72" s="8">
        <f>IF(OR(C72="",D72=""),"",D72-C72)</f>
        <v/>
      </c>
      <c r="F72" s="9">
        <f>IF(OR(C72="",D72="",C72=0),"",E72/C72)</f>
        <v/>
      </c>
      <c r="G72" s="14">
        <f>IF(OR(A72="",B72=""),"",COUNTIFS(Diario!$B$2:$B$301,$B72,Diario!$A$2:$A$301,"&gt;="&amp;$A72,Diario!$A$2:$A$301,"&lt;"&amp;$A72+7))</f>
        <v/>
      </c>
      <c r="H72" s="14">
        <f>IF(OR(A72="",B72=""),"",COUNTIFS(Diario!$B$2:$B$301,$B72,Diario!$A$2:$A$301,"&gt;="&amp;$A72,Diario!$A$2:$A$301,"&lt;"&amp;$A72+7,Diario!$I$2:$I$301,"&gt;0"))</f>
        <v/>
      </c>
      <c r="I72" s="9">
        <f>IF(OR(G72="",G72=0),"",H72/G72)</f>
        <v/>
      </c>
      <c r="J72" s="13">
        <f>IF(OR(A72="",B72=""),"",SUMIFS(Diario!$K$2:$K$301,Diario!$B$2:$B$301,$B72,Diario!$A$2:$A$301,"&gt;="&amp;$A72,Diario!$A$2:$A$301,"&lt;"&amp;$A72+7))</f>
        <v/>
      </c>
      <c r="K72" s="8">
        <f>IF(OR(D72="",B72=""),"",IFERROR(IF(INDEX(Cuentas!$J$2:$J$21,MATCH(B72,Cuentas!$A$2:$A$21,0))="","",D72-INDEX(Cuentas!$J$2:$J$21,MATCH(B72,Cuentas!$A$2:$A$21,0))),""))</f>
        <v/>
      </c>
      <c r="L72" s="6" t="n"/>
    </row>
    <row r="73">
      <c r="A73" s="12" t="n"/>
      <c r="B73" s="6" t="n"/>
      <c r="C73" s="7" t="n"/>
      <c r="D73" s="7" t="n"/>
      <c r="E73" s="8">
        <f>IF(OR(C73="",D73=""),"",D73-C73)</f>
        <v/>
      </c>
      <c r="F73" s="9">
        <f>IF(OR(C73="",D73="",C73=0),"",E73/C73)</f>
        <v/>
      </c>
      <c r="G73" s="14">
        <f>IF(OR(A73="",B73=""),"",COUNTIFS(Diario!$B$2:$B$301,$B73,Diario!$A$2:$A$301,"&gt;="&amp;$A73,Diario!$A$2:$A$301,"&lt;"&amp;$A73+7))</f>
        <v/>
      </c>
      <c r="H73" s="14">
        <f>IF(OR(A73="",B73=""),"",COUNTIFS(Diario!$B$2:$B$301,$B73,Diario!$A$2:$A$301,"&gt;="&amp;$A73,Diario!$A$2:$A$301,"&lt;"&amp;$A73+7,Diario!$I$2:$I$301,"&gt;0"))</f>
        <v/>
      </c>
      <c r="I73" s="9">
        <f>IF(OR(G73="",G73=0),"",H73/G73)</f>
        <v/>
      </c>
      <c r="J73" s="13">
        <f>IF(OR(A73="",B73=""),"",SUMIFS(Diario!$K$2:$K$301,Diario!$B$2:$B$301,$B73,Diario!$A$2:$A$301,"&gt;="&amp;$A73,Diario!$A$2:$A$301,"&lt;"&amp;$A73+7))</f>
        <v/>
      </c>
      <c r="K73" s="8">
        <f>IF(OR(D73="",B73=""),"",IFERROR(IF(INDEX(Cuentas!$J$2:$J$21,MATCH(B73,Cuentas!$A$2:$A$21,0))="","",D73-INDEX(Cuentas!$J$2:$J$21,MATCH(B73,Cuentas!$A$2:$A$21,0))),""))</f>
        <v/>
      </c>
      <c r="L73" s="6" t="n"/>
    </row>
    <row r="74">
      <c r="A74" s="12" t="n"/>
      <c r="B74" s="6" t="n"/>
      <c r="C74" s="7" t="n"/>
      <c r="D74" s="7" t="n"/>
      <c r="E74" s="8">
        <f>IF(OR(C74="",D74=""),"",D74-C74)</f>
        <v/>
      </c>
      <c r="F74" s="9">
        <f>IF(OR(C74="",D74="",C74=0),"",E74/C74)</f>
        <v/>
      </c>
      <c r="G74" s="14">
        <f>IF(OR(A74="",B74=""),"",COUNTIFS(Diario!$B$2:$B$301,$B74,Diario!$A$2:$A$301,"&gt;="&amp;$A74,Diario!$A$2:$A$301,"&lt;"&amp;$A74+7))</f>
        <v/>
      </c>
      <c r="H74" s="14">
        <f>IF(OR(A74="",B74=""),"",COUNTIFS(Diario!$B$2:$B$301,$B74,Diario!$A$2:$A$301,"&gt;="&amp;$A74,Diario!$A$2:$A$301,"&lt;"&amp;$A74+7,Diario!$I$2:$I$301,"&gt;0"))</f>
        <v/>
      </c>
      <c r="I74" s="9">
        <f>IF(OR(G74="",G74=0),"",H74/G74)</f>
        <v/>
      </c>
      <c r="J74" s="13">
        <f>IF(OR(A74="",B74=""),"",SUMIFS(Diario!$K$2:$K$301,Diario!$B$2:$B$301,$B74,Diario!$A$2:$A$301,"&gt;="&amp;$A74,Diario!$A$2:$A$301,"&lt;"&amp;$A74+7))</f>
        <v/>
      </c>
      <c r="K74" s="8">
        <f>IF(OR(D74="",B74=""),"",IFERROR(IF(INDEX(Cuentas!$J$2:$J$21,MATCH(B74,Cuentas!$A$2:$A$21,0))="","",D74-INDEX(Cuentas!$J$2:$J$21,MATCH(B74,Cuentas!$A$2:$A$21,0))),""))</f>
        <v/>
      </c>
      <c r="L74" s="6" t="n"/>
    </row>
    <row r="75">
      <c r="A75" s="12" t="n"/>
      <c r="B75" s="6" t="n"/>
      <c r="C75" s="7" t="n"/>
      <c r="D75" s="7" t="n"/>
      <c r="E75" s="8">
        <f>IF(OR(C75="",D75=""),"",D75-C75)</f>
        <v/>
      </c>
      <c r="F75" s="9">
        <f>IF(OR(C75="",D75="",C75=0),"",E75/C75)</f>
        <v/>
      </c>
      <c r="G75" s="14">
        <f>IF(OR(A75="",B75=""),"",COUNTIFS(Diario!$B$2:$B$301,$B75,Diario!$A$2:$A$301,"&gt;="&amp;$A75,Diario!$A$2:$A$301,"&lt;"&amp;$A75+7))</f>
        <v/>
      </c>
      <c r="H75" s="14">
        <f>IF(OR(A75="",B75=""),"",COUNTIFS(Diario!$B$2:$B$301,$B75,Diario!$A$2:$A$301,"&gt;="&amp;$A75,Diario!$A$2:$A$301,"&lt;"&amp;$A75+7,Diario!$I$2:$I$301,"&gt;0"))</f>
        <v/>
      </c>
      <c r="I75" s="9">
        <f>IF(OR(G75="",G75=0),"",H75/G75)</f>
        <v/>
      </c>
      <c r="J75" s="13">
        <f>IF(OR(A75="",B75=""),"",SUMIFS(Diario!$K$2:$K$301,Diario!$B$2:$B$301,$B75,Diario!$A$2:$A$301,"&gt;="&amp;$A75,Diario!$A$2:$A$301,"&lt;"&amp;$A75+7))</f>
        <v/>
      </c>
      <c r="K75" s="8">
        <f>IF(OR(D75="",B75=""),"",IFERROR(IF(INDEX(Cuentas!$J$2:$J$21,MATCH(B75,Cuentas!$A$2:$A$21,0))="","",D75-INDEX(Cuentas!$J$2:$J$21,MATCH(B75,Cuentas!$A$2:$A$21,0))),""))</f>
        <v/>
      </c>
      <c r="L75" s="6" t="n"/>
    </row>
    <row r="76">
      <c r="A76" s="12" t="n"/>
      <c r="B76" s="6" t="n"/>
      <c r="C76" s="7" t="n"/>
      <c r="D76" s="7" t="n"/>
      <c r="E76" s="8">
        <f>IF(OR(C76="",D76=""),"",D76-C76)</f>
        <v/>
      </c>
      <c r="F76" s="9">
        <f>IF(OR(C76="",D76="",C76=0),"",E76/C76)</f>
        <v/>
      </c>
      <c r="G76" s="14">
        <f>IF(OR(A76="",B76=""),"",COUNTIFS(Diario!$B$2:$B$301,$B76,Diario!$A$2:$A$301,"&gt;="&amp;$A76,Diario!$A$2:$A$301,"&lt;"&amp;$A76+7))</f>
        <v/>
      </c>
      <c r="H76" s="14">
        <f>IF(OR(A76="",B76=""),"",COUNTIFS(Diario!$B$2:$B$301,$B76,Diario!$A$2:$A$301,"&gt;="&amp;$A76,Diario!$A$2:$A$301,"&lt;"&amp;$A76+7,Diario!$I$2:$I$301,"&gt;0"))</f>
        <v/>
      </c>
      <c r="I76" s="9">
        <f>IF(OR(G76="",G76=0),"",H76/G76)</f>
        <v/>
      </c>
      <c r="J76" s="13">
        <f>IF(OR(A76="",B76=""),"",SUMIFS(Diario!$K$2:$K$301,Diario!$B$2:$B$301,$B76,Diario!$A$2:$A$301,"&gt;="&amp;$A76,Diario!$A$2:$A$301,"&lt;"&amp;$A76+7))</f>
        <v/>
      </c>
      <c r="K76" s="8">
        <f>IF(OR(D76="",B76=""),"",IFERROR(IF(INDEX(Cuentas!$J$2:$J$21,MATCH(B76,Cuentas!$A$2:$A$21,0))="","",D76-INDEX(Cuentas!$J$2:$J$21,MATCH(B76,Cuentas!$A$2:$A$21,0))),""))</f>
        <v/>
      </c>
      <c r="L76" s="6" t="n"/>
    </row>
    <row r="77">
      <c r="A77" s="12" t="n"/>
      <c r="B77" s="6" t="n"/>
      <c r="C77" s="7" t="n"/>
      <c r="D77" s="7" t="n"/>
      <c r="E77" s="8">
        <f>IF(OR(C77="",D77=""),"",D77-C77)</f>
        <v/>
      </c>
      <c r="F77" s="9">
        <f>IF(OR(C77="",D77="",C77=0),"",E77/C77)</f>
        <v/>
      </c>
      <c r="G77" s="14">
        <f>IF(OR(A77="",B77=""),"",COUNTIFS(Diario!$B$2:$B$301,$B77,Diario!$A$2:$A$301,"&gt;="&amp;$A77,Diario!$A$2:$A$301,"&lt;"&amp;$A77+7))</f>
        <v/>
      </c>
      <c r="H77" s="14">
        <f>IF(OR(A77="",B77=""),"",COUNTIFS(Diario!$B$2:$B$301,$B77,Diario!$A$2:$A$301,"&gt;="&amp;$A77,Diario!$A$2:$A$301,"&lt;"&amp;$A77+7,Diario!$I$2:$I$301,"&gt;0"))</f>
        <v/>
      </c>
      <c r="I77" s="9">
        <f>IF(OR(G77="",G77=0),"",H77/G77)</f>
        <v/>
      </c>
      <c r="J77" s="13">
        <f>IF(OR(A77="",B77=""),"",SUMIFS(Diario!$K$2:$K$301,Diario!$B$2:$B$301,$B77,Diario!$A$2:$A$301,"&gt;="&amp;$A77,Diario!$A$2:$A$301,"&lt;"&amp;$A77+7))</f>
        <v/>
      </c>
      <c r="K77" s="8">
        <f>IF(OR(D77="",B77=""),"",IFERROR(IF(INDEX(Cuentas!$J$2:$J$21,MATCH(B77,Cuentas!$A$2:$A$21,0))="","",D77-INDEX(Cuentas!$J$2:$J$21,MATCH(B77,Cuentas!$A$2:$A$21,0))),""))</f>
        <v/>
      </c>
      <c r="L77" s="6" t="n"/>
    </row>
    <row r="78">
      <c r="A78" s="12" t="n"/>
      <c r="B78" s="6" t="n"/>
      <c r="C78" s="7" t="n"/>
      <c r="D78" s="7" t="n"/>
      <c r="E78" s="8">
        <f>IF(OR(C78="",D78=""),"",D78-C78)</f>
        <v/>
      </c>
      <c r="F78" s="9">
        <f>IF(OR(C78="",D78="",C78=0),"",E78/C78)</f>
        <v/>
      </c>
      <c r="G78" s="14">
        <f>IF(OR(A78="",B78=""),"",COUNTIFS(Diario!$B$2:$B$301,$B78,Diario!$A$2:$A$301,"&gt;="&amp;$A78,Diario!$A$2:$A$301,"&lt;"&amp;$A78+7))</f>
        <v/>
      </c>
      <c r="H78" s="14">
        <f>IF(OR(A78="",B78=""),"",COUNTIFS(Diario!$B$2:$B$301,$B78,Diario!$A$2:$A$301,"&gt;="&amp;$A78,Diario!$A$2:$A$301,"&lt;"&amp;$A78+7,Diario!$I$2:$I$301,"&gt;0"))</f>
        <v/>
      </c>
      <c r="I78" s="9">
        <f>IF(OR(G78="",G78=0),"",H78/G78)</f>
        <v/>
      </c>
      <c r="J78" s="13">
        <f>IF(OR(A78="",B78=""),"",SUMIFS(Diario!$K$2:$K$301,Diario!$B$2:$B$301,$B78,Diario!$A$2:$A$301,"&gt;="&amp;$A78,Diario!$A$2:$A$301,"&lt;"&amp;$A78+7))</f>
        <v/>
      </c>
      <c r="K78" s="8">
        <f>IF(OR(D78="",B78=""),"",IFERROR(IF(INDEX(Cuentas!$J$2:$J$21,MATCH(B78,Cuentas!$A$2:$A$21,0))="","",D78-INDEX(Cuentas!$J$2:$J$21,MATCH(B78,Cuentas!$A$2:$A$21,0))),""))</f>
        <v/>
      </c>
      <c r="L78" s="6" t="n"/>
    </row>
    <row r="79">
      <c r="A79" s="12" t="n"/>
      <c r="B79" s="6" t="n"/>
      <c r="C79" s="7" t="n"/>
      <c r="D79" s="7" t="n"/>
      <c r="E79" s="8">
        <f>IF(OR(C79="",D79=""),"",D79-C79)</f>
        <v/>
      </c>
      <c r="F79" s="9">
        <f>IF(OR(C79="",D79="",C79=0),"",E79/C79)</f>
        <v/>
      </c>
      <c r="G79" s="14">
        <f>IF(OR(A79="",B79=""),"",COUNTIFS(Diario!$B$2:$B$301,$B79,Diario!$A$2:$A$301,"&gt;="&amp;$A79,Diario!$A$2:$A$301,"&lt;"&amp;$A79+7))</f>
        <v/>
      </c>
      <c r="H79" s="14">
        <f>IF(OR(A79="",B79=""),"",COUNTIFS(Diario!$B$2:$B$301,$B79,Diario!$A$2:$A$301,"&gt;="&amp;$A79,Diario!$A$2:$A$301,"&lt;"&amp;$A79+7,Diario!$I$2:$I$301,"&gt;0"))</f>
        <v/>
      </c>
      <c r="I79" s="9">
        <f>IF(OR(G79="",G79=0),"",H79/G79)</f>
        <v/>
      </c>
      <c r="J79" s="13">
        <f>IF(OR(A79="",B79=""),"",SUMIFS(Diario!$K$2:$K$301,Diario!$B$2:$B$301,$B79,Diario!$A$2:$A$301,"&gt;="&amp;$A79,Diario!$A$2:$A$301,"&lt;"&amp;$A79+7))</f>
        <v/>
      </c>
      <c r="K79" s="8">
        <f>IF(OR(D79="",B79=""),"",IFERROR(IF(INDEX(Cuentas!$J$2:$J$21,MATCH(B79,Cuentas!$A$2:$A$21,0))="","",D79-INDEX(Cuentas!$J$2:$J$21,MATCH(B79,Cuentas!$A$2:$A$21,0))),""))</f>
        <v/>
      </c>
      <c r="L79" s="6" t="n"/>
    </row>
    <row r="80">
      <c r="A80" s="12" t="n"/>
      <c r="B80" s="6" t="n"/>
      <c r="C80" s="7" t="n"/>
      <c r="D80" s="7" t="n"/>
      <c r="E80" s="8">
        <f>IF(OR(C80="",D80=""),"",D80-C80)</f>
        <v/>
      </c>
      <c r="F80" s="9">
        <f>IF(OR(C80="",D80="",C80=0),"",E80/C80)</f>
        <v/>
      </c>
      <c r="G80" s="14">
        <f>IF(OR(A80="",B80=""),"",COUNTIFS(Diario!$B$2:$B$301,$B80,Diario!$A$2:$A$301,"&gt;="&amp;$A80,Diario!$A$2:$A$301,"&lt;"&amp;$A80+7))</f>
        <v/>
      </c>
      <c r="H80" s="14">
        <f>IF(OR(A80="",B80=""),"",COUNTIFS(Diario!$B$2:$B$301,$B80,Diario!$A$2:$A$301,"&gt;="&amp;$A80,Diario!$A$2:$A$301,"&lt;"&amp;$A80+7,Diario!$I$2:$I$301,"&gt;0"))</f>
        <v/>
      </c>
      <c r="I80" s="9">
        <f>IF(OR(G80="",G80=0),"",H80/G80)</f>
        <v/>
      </c>
      <c r="J80" s="13">
        <f>IF(OR(A80="",B80=""),"",SUMIFS(Diario!$K$2:$K$301,Diario!$B$2:$B$301,$B80,Diario!$A$2:$A$301,"&gt;="&amp;$A80,Diario!$A$2:$A$301,"&lt;"&amp;$A80+7))</f>
        <v/>
      </c>
      <c r="K80" s="8">
        <f>IF(OR(D80="",B80=""),"",IFERROR(IF(INDEX(Cuentas!$J$2:$J$21,MATCH(B80,Cuentas!$A$2:$A$21,0))="","",D80-INDEX(Cuentas!$J$2:$J$21,MATCH(B80,Cuentas!$A$2:$A$21,0))),""))</f>
        <v/>
      </c>
      <c r="L80" s="6" t="n"/>
    </row>
    <row r="81">
      <c r="A81" s="12" t="n"/>
      <c r="B81" s="6" t="n"/>
      <c r="C81" s="7" t="n"/>
      <c r="D81" s="7" t="n"/>
      <c r="E81" s="8">
        <f>IF(OR(C81="",D81=""),"",D81-C81)</f>
        <v/>
      </c>
      <c r="F81" s="9">
        <f>IF(OR(C81="",D81="",C81=0),"",E81/C81)</f>
        <v/>
      </c>
      <c r="G81" s="14">
        <f>IF(OR(A81="",B81=""),"",COUNTIFS(Diario!$B$2:$B$301,$B81,Diario!$A$2:$A$301,"&gt;="&amp;$A81,Diario!$A$2:$A$301,"&lt;"&amp;$A81+7))</f>
        <v/>
      </c>
      <c r="H81" s="14">
        <f>IF(OR(A81="",B81=""),"",COUNTIFS(Diario!$B$2:$B$301,$B81,Diario!$A$2:$A$301,"&gt;="&amp;$A81,Diario!$A$2:$A$301,"&lt;"&amp;$A81+7,Diario!$I$2:$I$301,"&gt;0"))</f>
        <v/>
      </c>
      <c r="I81" s="9">
        <f>IF(OR(G81="",G81=0),"",H81/G81)</f>
        <v/>
      </c>
      <c r="J81" s="13">
        <f>IF(OR(A81="",B81=""),"",SUMIFS(Diario!$K$2:$K$301,Diario!$B$2:$B$301,$B81,Diario!$A$2:$A$301,"&gt;="&amp;$A81,Diario!$A$2:$A$301,"&lt;"&amp;$A81+7))</f>
        <v/>
      </c>
      <c r="K81" s="8">
        <f>IF(OR(D81="",B81=""),"",IFERROR(IF(INDEX(Cuentas!$J$2:$J$21,MATCH(B81,Cuentas!$A$2:$A$21,0))="","",D81-INDEX(Cuentas!$J$2:$J$21,MATCH(B81,Cuentas!$A$2:$A$21,0))),""))</f>
        <v/>
      </c>
      <c r="L81" s="6" t="n"/>
    </row>
    <row r="82">
      <c r="A82" s="12" t="n"/>
      <c r="B82" s="6" t="n"/>
      <c r="C82" s="7" t="n"/>
      <c r="D82" s="7" t="n"/>
      <c r="E82" s="8">
        <f>IF(OR(C82="",D82=""),"",D82-C82)</f>
        <v/>
      </c>
      <c r="F82" s="9">
        <f>IF(OR(C82="",D82="",C82=0),"",E82/C82)</f>
        <v/>
      </c>
      <c r="G82" s="14">
        <f>IF(OR(A82="",B82=""),"",COUNTIFS(Diario!$B$2:$B$301,$B82,Diario!$A$2:$A$301,"&gt;="&amp;$A82,Diario!$A$2:$A$301,"&lt;"&amp;$A82+7))</f>
        <v/>
      </c>
      <c r="H82" s="14">
        <f>IF(OR(A82="",B82=""),"",COUNTIFS(Diario!$B$2:$B$301,$B82,Diario!$A$2:$A$301,"&gt;="&amp;$A82,Diario!$A$2:$A$301,"&lt;"&amp;$A82+7,Diario!$I$2:$I$301,"&gt;0"))</f>
        <v/>
      </c>
      <c r="I82" s="9">
        <f>IF(OR(G82="",G82=0),"",H82/G82)</f>
        <v/>
      </c>
      <c r="J82" s="13">
        <f>IF(OR(A82="",B82=""),"",SUMIFS(Diario!$K$2:$K$301,Diario!$B$2:$B$301,$B82,Diario!$A$2:$A$301,"&gt;="&amp;$A82,Diario!$A$2:$A$301,"&lt;"&amp;$A82+7))</f>
        <v/>
      </c>
      <c r="K82" s="8">
        <f>IF(OR(D82="",B82=""),"",IFERROR(IF(INDEX(Cuentas!$J$2:$J$21,MATCH(B82,Cuentas!$A$2:$A$21,0))="","",D82-INDEX(Cuentas!$J$2:$J$21,MATCH(B82,Cuentas!$A$2:$A$21,0))),""))</f>
        <v/>
      </c>
      <c r="L82" s="6" t="n"/>
    </row>
    <row r="83">
      <c r="A83" s="12" t="n"/>
      <c r="B83" s="6" t="n"/>
      <c r="C83" s="7" t="n"/>
      <c r="D83" s="7" t="n"/>
      <c r="E83" s="8">
        <f>IF(OR(C83="",D83=""),"",D83-C83)</f>
        <v/>
      </c>
      <c r="F83" s="9">
        <f>IF(OR(C83="",D83="",C83=0),"",E83/C83)</f>
        <v/>
      </c>
      <c r="G83" s="14">
        <f>IF(OR(A83="",B83=""),"",COUNTIFS(Diario!$B$2:$B$301,$B83,Diario!$A$2:$A$301,"&gt;="&amp;$A83,Diario!$A$2:$A$301,"&lt;"&amp;$A83+7))</f>
        <v/>
      </c>
      <c r="H83" s="14">
        <f>IF(OR(A83="",B83=""),"",COUNTIFS(Diario!$B$2:$B$301,$B83,Diario!$A$2:$A$301,"&gt;="&amp;$A83,Diario!$A$2:$A$301,"&lt;"&amp;$A83+7,Diario!$I$2:$I$301,"&gt;0"))</f>
        <v/>
      </c>
      <c r="I83" s="9">
        <f>IF(OR(G83="",G83=0),"",H83/G83)</f>
        <v/>
      </c>
      <c r="J83" s="13">
        <f>IF(OR(A83="",B83=""),"",SUMIFS(Diario!$K$2:$K$301,Diario!$B$2:$B$301,$B83,Diario!$A$2:$A$301,"&gt;="&amp;$A83,Diario!$A$2:$A$301,"&lt;"&amp;$A83+7))</f>
        <v/>
      </c>
      <c r="K83" s="8">
        <f>IF(OR(D83="",B83=""),"",IFERROR(IF(INDEX(Cuentas!$J$2:$J$21,MATCH(B83,Cuentas!$A$2:$A$21,0))="","",D83-INDEX(Cuentas!$J$2:$J$21,MATCH(B83,Cuentas!$A$2:$A$21,0))),""))</f>
        <v/>
      </c>
      <c r="L83" s="6" t="n"/>
    </row>
    <row r="84">
      <c r="A84" s="12" t="n"/>
      <c r="B84" s="6" t="n"/>
      <c r="C84" s="7" t="n"/>
      <c r="D84" s="7" t="n"/>
      <c r="E84" s="8">
        <f>IF(OR(C84="",D84=""),"",D84-C84)</f>
        <v/>
      </c>
      <c r="F84" s="9">
        <f>IF(OR(C84="",D84="",C84=0),"",E84/C84)</f>
        <v/>
      </c>
      <c r="G84" s="14">
        <f>IF(OR(A84="",B84=""),"",COUNTIFS(Diario!$B$2:$B$301,$B84,Diario!$A$2:$A$301,"&gt;="&amp;$A84,Diario!$A$2:$A$301,"&lt;"&amp;$A84+7))</f>
        <v/>
      </c>
      <c r="H84" s="14">
        <f>IF(OR(A84="",B84=""),"",COUNTIFS(Diario!$B$2:$B$301,$B84,Diario!$A$2:$A$301,"&gt;="&amp;$A84,Diario!$A$2:$A$301,"&lt;"&amp;$A84+7,Diario!$I$2:$I$301,"&gt;0"))</f>
        <v/>
      </c>
      <c r="I84" s="9">
        <f>IF(OR(G84="",G84=0),"",H84/G84)</f>
        <v/>
      </c>
      <c r="J84" s="13">
        <f>IF(OR(A84="",B84=""),"",SUMIFS(Diario!$K$2:$K$301,Diario!$B$2:$B$301,$B84,Diario!$A$2:$A$301,"&gt;="&amp;$A84,Diario!$A$2:$A$301,"&lt;"&amp;$A84+7))</f>
        <v/>
      </c>
      <c r="K84" s="8">
        <f>IF(OR(D84="",B84=""),"",IFERROR(IF(INDEX(Cuentas!$J$2:$J$21,MATCH(B84,Cuentas!$A$2:$A$21,0))="","",D84-INDEX(Cuentas!$J$2:$J$21,MATCH(B84,Cuentas!$A$2:$A$21,0))),""))</f>
        <v/>
      </c>
      <c r="L84" s="6" t="n"/>
    </row>
    <row r="85">
      <c r="A85" s="12" t="n"/>
      <c r="B85" s="6" t="n"/>
      <c r="C85" s="7" t="n"/>
      <c r="D85" s="7" t="n"/>
      <c r="E85" s="8">
        <f>IF(OR(C85="",D85=""),"",D85-C85)</f>
        <v/>
      </c>
      <c r="F85" s="9">
        <f>IF(OR(C85="",D85="",C85=0),"",E85/C85)</f>
        <v/>
      </c>
      <c r="G85" s="14">
        <f>IF(OR(A85="",B85=""),"",COUNTIFS(Diario!$B$2:$B$301,$B85,Diario!$A$2:$A$301,"&gt;="&amp;$A85,Diario!$A$2:$A$301,"&lt;"&amp;$A85+7))</f>
        <v/>
      </c>
      <c r="H85" s="14">
        <f>IF(OR(A85="",B85=""),"",COUNTIFS(Diario!$B$2:$B$301,$B85,Diario!$A$2:$A$301,"&gt;="&amp;$A85,Diario!$A$2:$A$301,"&lt;"&amp;$A85+7,Diario!$I$2:$I$301,"&gt;0"))</f>
        <v/>
      </c>
      <c r="I85" s="9">
        <f>IF(OR(G85="",G85=0),"",H85/G85)</f>
        <v/>
      </c>
      <c r="J85" s="13">
        <f>IF(OR(A85="",B85=""),"",SUMIFS(Diario!$K$2:$K$301,Diario!$B$2:$B$301,$B85,Diario!$A$2:$A$301,"&gt;="&amp;$A85,Diario!$A$2:$A$301,"&lt;"&amp;$A85+7))</f>
        <v/>
      </c>
      <c r="K85" s="8">
        <f>IF(OR(D85="",B85=""),"",IFERROR(IF(INDEX(Cuentas!$J$2:$J$21,MATCH(B85,Cuentas!$A$2:$A$21,0))="","",D85-INDEX(Cuentas!$J$2:$J$21,MATCH(B85,Cuentas!$A$2:$A$21,0))),""))</f>
        <v/>
      </c>
      <c r="L85" s="6" t="n"/>
    </row>
    <row r="86">
      <c r="A86" s="12" t="n"/>
      <c r="B86" s="6" t="n"/>
      <c r="C86" s="7" t="n"/>
      <c r="D86" s="7" t="n"/>
      <c r="E86" s="8">
        <f>IF(OR(C86="",D86=""),"",D86-C86)</f>
        <v/>
      </c>
      <c r="F86" s="9">
        <f>IF(OR(C86="",D86="",C86=0),"",E86/C86)</f>
        <v/>
      </c>
      <c r="G86" s="14">
        <f>IF(OR(A86="",B86=""),"",COUNTIFS(Diario!$B$2:$B$301,$B86,Diario!$A$2:$A$301,"&gt;="&amp;$A86,Diario!$A$2:$A$301,"&lt;"&amp;$A86+7))</f>
        <v/>
      </c>
      <c r="H86" s="14">
        <f>IF(OR(A86="",B86=""),"",COUNTIFS(Diario!$B$2:$B$301,$B86,Diario!$A$2:$A$301,"&gt;="&amp;$A86,Diario!$A$2:$A$301,"&lt;"&amp;$A86+7,Diario!$I$2:$I$301,"&gt;0"))</f>
        <v/>
      </c>
      <c r="I86" s="9">
        <f>IF(OR(G86="",G86=0),"",H86/G86)</f>
        <v/>
      </c>
      <c r="J86" s="13">
        <f>IF(OR(A86="",B86=""),"",SUMIFS(Diario!$K$2:$K$301,Diario!$B$2:$B$301,$B86,Diario!$A$2:$A$301,"&gt;="&amp;$A86,Diario!$A$2:$A$301,"&lt;"&amp;$A86+7))</f>
        <v/>
      </c>
      <c r="K86" s="8">
        <f>IF(OR(D86="",B86=""),"",IFERROR(IF(INDEX(Cuentas!$J$2:$J$21,MATCH(B86,Cuentas!$A$2:$A$21,0))="","",D86-INDEX(Cuentas!$J$2:$J$21,MATCH(B86,Cuentas!$A$2:$A$21,0))),""))</f>
        <v/>
      </c>
      <c r="L86" s="6" t="n"/>
    </row>
    <row r="87">
      <c r="A87" s="12" t="n"/>
      <c r="B87" s="6" t="n"/>
      <c r="C87" s="7" t="n"/>
      <c r="D87" s="7" t="n"/>
      <c r="E87" s="8">
        <f>IF(OR(C87="",D87=""),"",D87-C87)</f>
        <v/>
      </c>
      <c r="F87" s="9">
        <f>IF(OR(C87="",D87="",C87=0),"",E87/C87)</f>
        <v/>
      </c>
      <c r="G87" s="14">
        <f>IF(OR(A87="",B87=""),"",COUNTIFS(Diario!$B$2:$B$301,$B87,Diario!$A$2:$A$301,"&gt;="&amp;$A87,Diario!$A$2:$A$301,"&lt;"&amp;$A87+7))</f>
        <v/>
      </c>
      <c r="H87" s="14">
        <f>IF(OR(A87="",B87=""),"",COUNTIFS(Diario!$B$2:$B$301,$B87,Diario!$A$2:$A$301,"&gt;="&amp;$A87,Diario!$A$2:$A$301,"&lt;"&amp;$A87+7,Diario!$I$2:$I$301,"&gt;0"))</f>
        <v/>
      </c>
      <c r="I87" s="9">
        <f>IF(OR(G87="",G87=0),"",H87/G87)</f>
        <v/>
      </c>
      <c r="J87" s="13">
        <f>IF(OR(A87="",B87=""),"",SUMIFS(Diario!$K$2:$K$301,Diario!$B$2:$B$301,$B87,Diario!$A$2:$A$301,"&gt;="&amp;$A87,Diario!$A$2:$A$301,"&lt;"&amp;$A87+7))</f>
        <v/>
      </c>
      <c r="K87" s="8">
        <f>IF(OR(D87="",B87=""),"",IFERROR(IF(INDEX(Cuentas!$J$2:$J$21,MATCH(B87,Cuentas!$A$2:$A$21,0))="","",D87-INDEX(Cuentas!$J$2:$J$21,MATCH(B87,Cuentas!$A$2:$A$21,0))),""))</f>
        <v/>
      </c>
      <c r="L87" s="6" t="n"/>
    </row>
    <row r="88">
      <c r="A88" s="12" t="n"/>
      <c r="B88" s="6" t="n"/>
      <c r="C88" s="7" t="n"/>
      <c r="D88" s="7" t="n"/>
      <c r="E88" s="8">
        <f>IF(OR(C88="",D88=""),"",D88-C88)</f>
        <v/>
      </c>
      <c r="F88" s="9">
        <f>IF(OR(C88="",D88="",C88=0),"",E88/C88)</f>
        <v/>
      </c>
      <c r="G88" s="14">
        <f>IF(OR(A88="",B88=""),"",COUNTIFS(Diario!$B$2:$B$301,$B88,Diario!$A$2:$A$301,"&gt;="&amp;$A88,Diario!$A$2:$A$301,"&lt;"&amp;$A88+7))</f>
        <v/>
      </c>
      <c r="H88" s="14">
        <f>IF(OR(A88="",B88=""),"",COUNTIFS(Diario!$B$2:$B$301,$B88,Diario!$A$2:$A$301,"&gt;="&amp;$A88,Diario!$A$2:$A$301,"&lt;"&amp;$A88+7,Diario!$I$2:$I$301,"&gt;0"))</f>
        <v/>
      </c>
      <c r="I88" s="9">
        <f>IF(OR(G88="",G88=0),"",H88/G88)</f>
        <v/>
      </c>
      <c r="J88" s="13">
        <f>IF(OR(A88="",B88=""),"",SUMIFS(Diario!$K$2:$K$301,Diario!$B$2:$B$301,$B88,Diario!$A$2:$A$301,"&gt;="&amp;$A88,Diario!$A$2:$A$301,"&lt;"&amp;$A88+7))</f>
        <v/>
      </c>
      <c r="K88" s="8">
        <f>IF(OR(D88="",B88=""),"",IFERROR(IF(INDEX(Cuentas!$J$2:$J$21,MATCH(B88,Cuentas!$A$2:$A$21,0))="","",D88-INDEX(Cuentas!$J$2:$J$21,MATCH(B88,Cuentas!$A$2:$A$21,0))),""))</f>
        <v/>
      </c>
      <c r="L88" s="6" t="n"/>
    </row>
    <row r="89">
      <c r="A89" s="12" t="n"/>
      <c r="B89" s="6" t="n"/>
      <c r="C89" s="7" t="n"/>
      <c r="D89" s="7" t="n"/>
      <c r="E89" s="8">
        <f>IF(OR(C89="",D89=""),"",D89-C89)</f>
        <v/>
      </c>
      <c r="F89" s="9">
        <f>IF(OR(C89="",D89="",C89=0),"",E89/C89)</f>
        <v/>
      </c>
      <c r="G89" s="14">
        <f>IF(OR(A89="",B89=""),"",COUNTIFS(Diario!$B$2:$B$301,$B89,Diario!$A$2:$A$301,"&gt;="&amp;$A89,Diario!$A$2:$A$301,"&lt;"&amp;$A89+7))</f>
        <v/>
      </c>
      <c r="H89" s="14">
        <f>IF(OR(A89="",B89=""),"",COUNTIFS(Diario!$B$2:$B$301,$B89,Diario!$A$2:$A$301,"&gt;="&amp;$A89,Diario!$A$2:$A$301,"&lt;"&amp;$A89+7,Diario!$I$2:$I$301,"&gt;0"))</f>
        <v/>
      </c>
      <c r="I89" s="9">
        <f>IF(OR(G89="",G89=0),"",H89/G89)</f>
        <v/>
      </c>
      <c r="J89" s="13">
        <f>IF(OR(A89="",B89=""),"",SUMIFS(Diario!$K$2:$K$301,Diario!$B$2:$B$301,$B89,Diario!$A$2:$A$301,"&gt;="&amp;$A89,Diario!$A$2:$A$301,"&lt;"&amp;$A89+7))</f>
        <v/>
      </c>
      <c r="K89" s="8">
        <f>IF(OR(D89="",B89=""),"",IFERROR(IF(INDEX(Cuentas!$J$2:$J$21,MATCH(B89,Cuentas!$A$2:$A$21,0))="","",D89-INDEX(Cuentas!$J$2:$J$21,MATCH(B89,Cuentas!$A$2:$A$21,0))),""))</f>
        <v/>
      </c>
      <c r="L89" s="6" t="n"/>
    </row>
    <row r="90">
      <c r="A90" s="12" t="n"/>
      <c r="B90" s="6" t="n"/>
      <c r="C90" s="7" t="n"/>
      <c r="D90" s="7" t="n"/>
      <c r="E90" s="8">
        <f>IF(OR(C90="",D90=""),"",D90-C90)</f>
        <v/>
      </c>
      <c r="F90" s="9">
        <f>IF(OR(C90="",D90="",C90=0),"",E90/C90)</f>
        <v/>
      </c>
      <c r="G90" s="14">
        <f>IF(OR(A90="",B90=""),"",COUNTIFS(Diario!$B$2:$B$301,$B90,Diario!$A$2:$A$301,"&gt;="&amp;$A90,Diario!$A$2:$A$301,"&lt;"&amp;$A90+7))</f>
        <v/>
      </c>
      <c r="H90" s="14">
        <f>IF(OR(A90="",B90=""),"",COUNTIFS(Diario!$B$2:$B$301,$B90,Diario!$A$2:$A$301,"&gt;="&amp;$A90,Diario!$A$2:$A$301,"&lt;"&amp;$A90+7,Diario!$I$2:$I$301,"&gt;0"))</f>
        <v/>
      </c>
      <c r="I90" s="9">
        <f>IF(OR(G90="",G90=0),"",H90/G90)</f>
        <v/>
      </c>
      <c r="J90" s="13">
        <f>IF(OR(A90="",B90=""),"",SUMIFS(Diario!$K$2:$K$301,Diario!$B$2:$B$301,$B90,Diario!$A$2:$A$301,"&gt;="&amp;$A90,Diario!$A$2:$A$301,"&lt;"&amp;$A90+7))</f>
        <v/>
      </c>
      <c r="K90" s="8">
        <f>IF(OR(D90="",B90=""),"",IFERROR(IF(INDEX(Cuentas!$J$2:$J$21,MATCH(B90,Cuentas!$A$2:$A$21,0))="","",D90-INDEX(Cuentas!$J$2:$J$21,MATCH(B90,Cuentas!$A$2:$A$21,0))),""))</f>
        <v/>
      </c>
      <c r="L90" s="6" t="n"/>
    </row>
    <row r="91">
      <c r="A91" s="12" t="n"/>
      <c r="B91" s="6" t="n"/>
      <c r="C91" s="7" t="n"/>
      <c r="D91" s="7" t="n"/>
      <c r="E91" s="8">
        <f>IF(OR(C91="",D91=""),"",D91-C91)</f>
        <v/>
      </c>
      <c r="F91" s="9">
        <f>IF(OR(C91="",D91="",C91=0),"",E91/C91)</f>
        <v/>
      </c>
      <c r="G91" s="14">
        <f>IF(OR(A91="",B91=""),"",COUNTIFS(Diario!$B$2:$B$301,$B91,Diario!$A$2:$A$301,"&gt;="&amp;$A91,Diario!$A$2:$A$301,"&lt;"&amp;$A91+7))</f>
        <v/>
      </c>
      <c r="H91" s="14">
        <f>IF(OR(A91="",B91=""),"",COUNTIFS(Diario!$B$2:$B$301,$B91,Diario!$A$2:$A$301,"&gt;="&amp;$A91,Diario!$A$2:$A$301,"&lt;"&amp;$A91+7,Diario!$I$2:$I$301,"&gt;0"))</f>
        <v/>
      </c>
      <c r="I91" s="9">
        <f>IF(OR(G91="",G91=0),"",H91/G91)</f>
        <v/>
      </c>
      <c r="J91" s="13">
        <f>IF(OR(A91="",B91=""),"",SUMIFS(Diario!$K$2:$K$301,Diario!$B$2:$B$301,$B91,Diario!$A$2:$A$301,"&gt;="&amp;$A91,Diario!$A$2:$A$301,"&lt;"&amp;$A91+7))</f>
        <v/>
      </c>
      <c r="K91" s="8">
        <f>IF(OR(D91="",B91=""),"",IFERROR(IF(INDEX(Cuentas!$J$2:$J$21,MATCH(B91,Cuentas!$A$2:$A$21,0))="","",D91-INDEX(Cuentas!$J$2:$J$21,MATCH(B91,Cuentas!$A$2:$A$21,0))),""))</f>
        <v/>
      </c>
      <c r="L91" s="6" t="n"/>
    </row>
    <row r="92">
      <c r="A92" s="12" t="n"/>
      <c r="B92" s="6" t="n"/>
      <c r="C92" s="7" t="n"/>
      <c r="D92" s="7" t="n"/>
      <c r="E92" s="8">
        <f>IF(OR(C92="",D92=""),"",D92-C92)</f>
        <v/>
      </c>
      <c r="F92" s="9">
        <f>IF(OR(C92="",D92="",C92=0),"",E92/C92)</f>
        <v/>
      </c>
      <c r="G92" s="14">
        <f>IF(OR(A92="",B92=""),"",COUNTIFS(Diario!$B$2:$B$301,$B92,Diario!$A$2:$A$301,"&gt;="&amp;$A92,Diario!$A$2:$A$301,"&lt;"&amp;$A92+7))</f>
        <v/>
      </c>
      <c r="H92" s="14">
        <f>IF(OR(A92="",B92=""),"",COUNTIFS(Diario!$B$2:$B$301,$B92,Diario!$A$2:$A$301,"&gt;="&amp;$A92,Diario!$A$2:$A$301,"&lt;"&amp;$A92+7,Diario!$I$2:$I$301,"&gt;0"))</f>
        <v/>
      </c>
      <c r="I92" s="9">
        <f>IF(OR(G92="",G92=0),"",H92/G92)</f>
        <v/>
      </c>
      <c r="J92" s="13">
        <f>IF(OR(A92="",B92=""),"",SUMIFS(Diario!$K$2:$K$301,Diario!$B$2:$B$301,$B92,Diario!$A$2:$A$301,"&gt;="&amp;$A92,Diario!$A$2:$A$301,"&lt;"&amp;$A92+7))</f>
        <v/>
      </c>
      <c r="K92" s="8">
        <f>IF(OR(D92="",B92=""),"",IFERROR(IF(INDEX(Cuentas!$J$2:$J$21,MATCH(B92,Cuentas!$A$2:$A$21,0))="","",D92-INDEX(Cuentas!$J$2:$J$21,MATCH(B92,Cuentas!$A$2:$A$21,0))),""))</f>
        <v/>
      </c>
      <c r="L92" s="6" t="n"/>
    </row>
    <row r="93">
      <c r="A93" s="12" t="n"/>
      <c r="B93" s="6" t="n"/>
      <c r="C93" s="7" t="n"/>
      <c r="D93" s="7" t="n"/>
      <c r="E93" s="8">
        <f>IF(OR(C93="",D93=""),"",D93-C93)</f>
        <v/>
      </c>
      <c r="F93" s="9">
        <f>IF(OR(C93="",D93="",C93=0),"",E93/C93)</f>
        <v/>
      </c>
      <c r="G93" s="14">
        <f>IF(OR(A93="",B93=""),"",COUNTIFS(Diario!$B$2:$B$301,$B93,Diario!$A$2:$A$301,"&gt;="&amp;$A93,Diario!$A$2:$A$301,"&lt;"&amp;$A93+7))</f>
        <v/>
      </c>
      <c r="H93" s="14">
        <f>IF(OR(A93="",B93=""),"",COUNTIFS(Diario!$B$2:$B$301,$B93,Diario!$A$2:$A$301,"&gt;="&amp;$A93,Diario!$A$2:$A$301,"&lt;"&amp;$A93+7,Diario!$I$2:$I$301,"&gt;0"))</f>
        <v/>
      </c>
      <c r="I93" s="9">
        <f>IF(OR(G93="",G93=0),"",H93/G93)</f>
        <v/>
      </c>
      <c r="J93" s="13">
        <f>IF(OR(A93="",B93=""),"",SUMIFS(Diario!$K$2:$K$301,Diario!$B$2:$B$301,$B93,Diario!$A$2:$A$301,"&gt;="&amp;$A93,Diario!$A$2:$A$301,"&lt;"&amp;$A93+7))</f>
        <v/>
      </c>
      <c r="K93" s="8">
        <f>IF(OR(D93="",B93=""),"",IFERROR(IF(INDEX(Cuentas!$J$2:$J$21,MATCH(B93,Cuentas!$A$2:$A$21,0))="","",D93-INDEX(Cuentas!$J$2:$J$21,MATCH(B93,Cuentas!$A$2:$A$21,0))),""))</f>
        <v/>
      </c>
      <c r="L93" s="6" t="n"/>
    </row>
    <row r="94">
      <c r="A94" s="12" t="n"/>
      <c r="B94" s="6" t="n"/>
      <c r="C94" s="7" t="n"/>
      <c r="D94" s="7" t="n"/>
      <c r="E94" s="8">
        <f>IF(OR(C94="",D94=""),"",D94-C94)</f>
        <v/>
      </c>
      <c r="F94" s="9">
        <f>IF(OR(C94="",D94="",C94=0),"",E94/C94)</f>
        <v/>
      </c>
      <c r="G94" s="14">
        <f>IF(OR(A94="",B94=""),"",COUNTIFS(Diario!$B$2:$B$301,$B94,Diario!$A$2:$A$301,"&gt;="&amp;$A94,Diario!$A$2:$A$301,"&lt;"&amp;$A94+7))</f>
        <v/>
      </c>
      <c r="H94" s="14">
        <f>IF(OR(A94="",B94=""),"",COUNTIFS(Diario!$B$2:$B$301,$B94,Diario!$A$2:$A$301,"&gt;="&amp;$A94,Diario!$A$2:$A$301,"&lt;"&amp;$A94+7,Diario!$I$2:$I$301,"&gt;0"))</f>
        <v/>
      </c>
      <c r="I94" s="9">
        <f>IF(OR(G94="",G94=0),"",H94/G94)</f>
        <v/>
      </c>
      <c r="J94" s="13">
        <f>IF(OR(A94="",B94=""),"",SUMIFS(Diario!$K$2:$K$301,Diario!$B$2:$B$301,$B94,Diario!$A$2:$A$301,"&gt;="&amp;$A94,Diario!$A$2:$A$301,"&lt;"&amp;$A94+7))</f>
        <v/>
      </c>
      <c r="K94" s="8">
        <f>IF(OR(D94="",B94=""),"",IFERROR(IF(INDEX(Cuentas!$J$2:$J$21,MATCH(B94,Cuentas!$A$2:$A$21,0))="","",D94-INDEX(Cuentas!$J$2:$J$21,MATCH(B94,Cuentas!$A$2:$A$21,0))),""))</f>
        <v/>
      </c>
      <c r="L94" s="6" t="n"/>
    </row>
    <row r="95">
      <c r="A95" s="12" t="n"/>
      <c r="B95" s="6" t="n"/>
      <c r="C95" s="7" t="n"/>
      <c r="D95" s="7" t="n"/>
      <c r="E95" s="8">
        <f>IF(OR(C95="",D95=""),"",D95-C95)</f>
        <v/>
      </c>
      <c r="F95" s="9">
        <f>IF(OR(C95="",D95="",C95=0),"",E95/C95)</f>
        <v/>
      </c>
      <c r="G95" s="14">
        <f>IF(OR(A95="",B95=""),"",COUNTIFS(Diario!$B$2:$B$301,$B95,Diario!$A$2:$A$301,"&gt;="&amp;$A95,Diario!$A$2:$A$301,"&lt;"&amp;$A95+7))</f>
        <v/>
      </c>
      <c r="H95" s="14">
        <f>IF(OR(A95="",B95=""),"",COUNTIFS(Diario!$B$2:$B$301,$B95,Diario!$A$2:$A$301,"&gt;="&amp;$A95,Diario!$A$2:$A$301,"&lt;"&amp;$A95+7,Diario!$I$2:$I$301,"&gt;0"))</f>
        <v/>
      </c>
      <c r="I95" s="9">
        <f>IF(OR(G95="",G95=0),"",H95/G95)</f>
        <v/>
      </c>
      <c r="J95" s="13">
        <f>IF(OR(A95="",B95=""),"",SUMIFS(Diario!$K$2:$K$301,Diario!$B$2:$B$301,$B95,Diario!$A$2:$A$301,"&gt;="&amp;$A95,Diario!$A$2:$A$301,"&lt;"&amp;$A95+7))</f>
        <v/>
      </c>
      <c r="K95" s="8">
        <f>IF(OR(D95="",B95=""),"",IFERROR(IF(INDEX(Cuentas!$J$2:$J$21,MATCH(B95,Cuentas!$A$2:$A$21,0))="","",D95-INDEX(Cuentas!$J$2:$J$21,MATCH(B95,Cuentas!$A$2:$A$21,0))),""))</f>
        <v/>
      </c>
      <c r="L95" s="6" t="n"/>
    </row>
    <row r="96">
      <c r="A96" s="12" t="n"/>
      <c r="B96" s="6" t="n"/>
      <c r="C96" s="7" t="n"/>
      <c r="D96" s="7" t="n"/>
      <c r="E96" s="8">
        <f>IF(OR(C96="",D96=""),"",D96-C96)</f>
        <v/>
      </c>
      <c r="F96" s="9">
        <f>IF(OR(C96="",D96="",C96=0),"",E96/C96)</f>
        <v/>
      </c>
      <c r="G96" s="14">
        <f>IF(OR(A96="",B96=""),"",COUNTIFS(Diario!$B$2:$B$301,$B96,Diario!$A$2:$A$301,"&gt;="&amp;$A96,Diario!$A$2:$A$301,"&lt;"&amp;$A96+7))</f>
        <v/>
      </c>
      <c r="H96" s="14">
        <f>IF(OR(A96="",B96=""),"",COUNTIFS(Diario!$B$2:$B$301,$B96,Diario!$A$2:$A$301,"&gt;="&amp;$A96,Diario!$A$2:$A$301,"&lt;"&amp;$A96+7,Diario!$I$2:$I$301,"&gt;0"))</f>
        <v/>
      </c>
      <c r="I96" s="9">
        <f>IF(OR(G96="",G96=0),"",H96/G96)</f>
        <v/>
      </c>
      <c r="J96" s="13">
        <f>IF(OR(A96="",B96=""),"",SUMIFS(Diario!$K$2:$K$301,Diario!$B$2:$B$301,$B96,Diario!$A$2:$A$301,"&gt;="&amp;$A96,Diario!$A$2:$A$301,"&lt;"&amp;$A96+7))</f>
        <v/>
      </c>
      <c r="K96" s="8">
        <f>IF(OR(D96="",B96=""),"",IFERROR(IF(INDEX(Cuentas!$J$2:$J$21,MATCH(B96,Cuentas!$A$2:$A$21,0))="","",D96-INDEX(Cuentas!$J$2:$J$21,MATCH(B96,Cuentas!$A$2:$A$21,0))),""))</f>
        <v/>
      </c>
      <c r="L96" s="6" t="n"/>
    </row>
    <row r="97">
      <c r="A97" s="12" t="n"/>
      <c r="B97" s="6" t="n"/>
      <c r="C97" s="7" t="n"/>
      <c r="D97" s="7" t="n"/>
      <c r="E97" s="8">
        <f>IF(OR(C97="",D97=""),"",D97-C97)</f>
        <v/>
      </c>
      <c r="F97" s="9">
        <f>IF(OR(C97="",D97="",C97=0),"",E97/C97)</f>
        <v/>
      </c>
      <c r="G97" s="14">
        <f>IF(OR(A97="",B97=""),"",COUNTIFS(Diario!$B$2:$B$301,$B97,Diario!$A$2:$A$301,"&gt;="&amp;$A97,Diario!$A$2:$A$301,"&lt;"&amp;$A97+7))</f>
        <v/>
      </c>
      <c r="H97" s="14">
        <f>IF(OR(A97="",B97=""),"",COUNTIFS(Diario!$B$2:$B$301,$B97,Diario!$A$2:$A$301,"&gt;="&amp;$A97,Diario!$A$2:$A$301,"&lt;"&amp;$A97+7,Diario!$I$2:$I$301,"&gt;0"))</f>
        <v/>
      </c>
      <c r="I97" s="9">
        <f>IF(OR(G97="",G97=0),"",H97/G97)</f>
        <v/>
      </c>
      <c r="J97" s="13">
        <f>IF(OR(A97="",B97=""),"",SUMIFS(Diario!$K$2:$K$301,Diario!$B$2:$B$301,$B97,Diario!$A$2:$A$301,"&gt;="&amp;$A97,Diario!$A$2:$A$301,"&lt;"&amp;$A97+7))</f>
        <v/>
      </c>
      <c r="K97" s="8">
        <f>IF(OR(D97="",B97=""),"",IFERROR(IF(INDEX(Cuentas!$J$2:$J$21,MATCH(B97,Cuentas!$A$2:$A$21,0))="","",D97-INDEX(Cuentas!$J$2:$J$21,MATCH(B97,Cuentas!$A$2:$A$21,0))),""))</f>
        <v/>
      </c>
      <c r="L97" s="6" t="n"/>
    </row>
    <row r="98">
      <c r="A98" s="12" t="n"/>
      <c r="B98" s="6" t="n"/>
      <c r="C98" s="7" t="n"/>
      <c r="D98" s="7" t="n"/>
      <c r="E98" s="8">
        <f>IF(OR(C98="",D98=""),"",D98-C98)</f>
        <v/>
      </c>
      <c r="F98" s="9">
        <f>IF(OR(C98="",D98="",C98=0),"",E98/C98)</f>
        <v/>
      </c>
      <c r="G98" s="14">
        <f>IF(OR(A98="",B98=""),"",COUNTIFS(Diario!$B$2:$B$301,$B98,Diario!$A$2:$A$301,"&gt;="&amp;$A98,Diario!$A$2:$A$301,"&lt;"&amp;$A98+7))</f>
        <v/>
      </c>
      <c r="H98" s="14">
        <f>IF(OR(A98="",B98=""),"",COUNTIFS(Diario!$B$2:$B$301,$B98,Diario!$A$2:$A$301,"&gt;="&amp;$A98,Diario!$A$2:$A$301,"&lt;"&amp;$A98+7,Diario!$I$2:$I$301,"&gt;0"))</f>
        <v/>
      </c>
      <c r="I98" s="9">
        <f>IF(OR(G98="",G98=0),"",H98/G98)</f>
        <v/>
      </c>
      <c r="J98" s="13">
        <f>IF(OR(A98="",B98=""),"",SUMIFS(Diario!$K$2:$K$301,Diario!$B$2:$B$301,$B98,Diario!$A$2:$A$301,"&gt;="&amp;$A98,Diario!$A$2:$A$301,"&lt;"&amp;$A98+7))</f>
        <v/>
      </c>
      <c r="K98" s="8">
        <f>IF(OR(D98="",B98=""),"",IFERROR(IF(INDEX(Cuentas!$J$2:$J$21,MATCH(B98,Cuentas!$A$2:$A$21,0))="","",D98-INDEX(Cuentas!$J$2:$J$21,MATCH(B98,Cuentas!$A$2:$A$21,0))),""))</f>
        <v/>
      </c>
      <c r="L98" s="6" t="n"/>
    </row>
    <row r="99">
      <c r="A99" s="12" t="n"/>
      <c r="B99" s="6" t="n"/>
      <c r="C99" s="7" t="n"/>
      <c r="D99" s="7" t="n"/>
      <c r="E99" s="8">
        <f>IF(OR(C99="",D99=""),"",D99-C99)</f>
        <v/>
      </c>
      <c r="F99" s="9">
        <f>IF(OR(C99="",D99="",C99=0),"",E99/C99)</f>
        <v/>
      </c>
      <c r="G99" s="14">
        <f>IF(OR(A99="",B99=""),"",COUNTIFS(Diario!$B$2:$B$301,$B99,Diario!$A$2:$A$301,"&gt;="&amp;$A99,Diario!$A$2:$A$301,"&lt;"&amp;$A99+7))</f>
        <v/>
      </c>
      <c r="H99" s="14">
        <f>IF(OR(A99="",B99=""),"",COUNTIFS(Diario!$B$2:$B$301,$B99,Diario!$A$2:$A$301,"&gt;="&amp;$A99,Diario!$A$2:$A$301,"&lt;"&amp;$A99+7,Diario!$I$2:$I$301,"&gt;0"))</f>
        <v/>
      </c>
      <c r="I99" s="9">
        <f>IF(OR(G99="",G99=0),"",H99/G99)</f>
        <v/>
      </c>
      <c r="J99" s="13">
        <f>IF(OR(A99="",B99=""),"",SUMIFS(Diario!$K$2:$K$301,Diario!$B$2:$B$301,$B99,Diario!$A$2:$A$301,"&gt;="&amp;$A99,Diario!$A$2:$A$301,"&lt;"&amp;$A99+7))</f>
        <v/>
      </c>
      <c r="K99" s="8">
        <f>IF(OR(D99="",B99=""),"",IFERROR(IF(INDEX(Cuentas!$J$2:$J$21,MATCH(B99,Cuentas!$A$2:$A$21,0))="","",D99-INDEX(Cuentas!$J$2:$J$21,MATCH(B99,Cuentas!$A$2:$A$21,0))),""))</f>
        <v/>
      </c>
      <c r="L99" s="6" t="n"/>
    </row>
    <row r="100">
      <c r="A100" s="12" t="n"/>
      <c r="B100" s="6" t="n"/>
      <c r="C100" s="7" t="n"/>
      <c r="D100" s="7" t="n"/>
      <c r="E100" s="8">
        <f>IF(OR(C100="",D100=""),"",D100-C100)</f>
        <v/>
      </c>
      <c r="F100" s="9">
        <f>IF(OR(C100="",D100="",C100=0),"",E100/C100)</f>
        <v/>
      </c>
      <c r="G100" s="14">
        <f>IF(OR(A100="",B100=""),"",COUNTIFS(Diario!$B$2:$B$301,$B100,Diario!$A$2:$A$301,"&gt;="&amp;$A100,Diario!$A$2:$A$301,"&lt;"&amp;$A100+7))</f>
        <v/>
      </c>
      <c r="H100" s="14">
        <f>IF(OR(A100="",B100=""),"",COUNTIFS(Diario!$B$2:$B$301,$B100,Diario!$A$2:$A$301,"&gt;="&amp;$A100,Diario!$A$2:$A$301,"&lt;"&amp;$A100+7,Diario!$I$2:$I$301,"&gt;0"))</f>
        <v/>
      </c>
      <c r="I100" s="9">
        <f>IF(OR(G100="",G100=0),"",H100/G100)</f>
        <v/>
      </c>
      <c r="J100" s="13">
        <f>IF(OR(A100="",B100=""),"",SUMIFS(Diario!$K$2:$K$301,Diario!$B$2:$B$301,$B100,Diario!$A$2:$A$301,"&gt;="&amp;$A100,Diario!$A$2:$A$301,"&lt;"&amp;$A100+7))</f>
        <v/>
      </c>
      <c r="K100" s="8">
        <f>IF(OR(D100="",B100=""),"",IFERROR(IF(INDEX(Cuentas!$J$2:$J$21,MATCH(B100,Cuentas!$A$2:$A$21,0))="","",D100-INDEX(Cuentas!$J$2:$J$21,MATCH(B100,Cuentas!$A$2:$A$21,0))),""))</f>
        <v/>
      </c>
      <c r="L100" s="6" t="n"/>
    </row>
    <row r="101">
      <c r="A101" s="12" t="n"/>
      <c r="B101" s="6" t="n"/>
      <c r="C101" s="7" t="n"/>
      <c r="D101" s="7" t="n"/>
      <c r="E101" s="8">
        <f>IF(OR(C101="",D101=""),"",D101-C101)</f>
        <v/>
      </c>
      <c r="F101" s="9">
        <f>IF(OR(C101="",D101="",C101=0),"",E101/C101)</f>
        <v/>
      </c>
      <c r="G101" s="14">
        <f>IF(OR(A101="",B101=""),"",COUNTIFS(Diario!$B$2:$B$301,$B101,Diario!$A$2:$A$301,"&gt;="&amp;$A101,Diario!$A$2:$A$301,"&lt;"&amp;$A101+7))</f>
        <v/>
      </c>
      <c r="H101" s="14">
        <f>IF(OR(A101="",B101=""),"",COUNTIFS(Diario!$B$2:$B$301,$B101,Diario!$A$2:$A$301,"&gt;="&amp;$A101,Diario!$A$2:$A$301,"&lt;"&amp;$A101+7,Diario!$I$2:$I$301,"&gt;0"))</f>
        <v/>
      </c>
      <c r="I101" s="9">
        <f>IF(OR(G101="",G101=0),"",H101/G101)</f>
        <v/>
      </c>
      <c r="J101" s="13">
        <f>IF(OR(A101="",B101=""),"",SUMIFS(Diario!$K$2:$K$301,Diario!$B$2:$B$301,$B101,Diario!$A$2:$A$301,"&gt;="&amp;$A101,Diario!$A$2:$A$301,"&lt;"&amp;$A101+7))</f>
        <v/>
      </c>
      <c r="K101" s="8">
        <f>IF(OR(D101="",B101=""),"",IFERROR(IF(INDEX(Cuentas!$J$2:$J$21,MATCH(B101,Cuentas!$A$2:$A$21,0))="","",D101-INDEX(Cuentas!$J$2:$J$21,MATCH(B101,Cuentas!$A$2:$A$21,0))),""))</f>
        <v/>
      </c>
      <c r="L101" s="6" t="n"/>
    </row>
    <row r="102">
      <c r="A102" s="12" t="n"/>
      <c r="B102" s="6" t="n"/>
      <c r="C102" s="7" t="n"/>
      <c r="D102" s="7" t="n"/>
      <c r="E102" s="8">
        <f>IF(OR(C102="",D102=""),"",D102-C102)</f>
        <v/>
      </c>
      <c r="F102" s="9">
        <f>IF(OR(C102="",D102="",C102=0),"",E102/C102)</f>
        <v/>
      </c>
      <c r="G102" s="14">
        <f>IF(OR(A102="",B102=""),"",COUNTIFS(Diario!$B$2:$B$301,$B102,Diario!$A$2:$A$301,"&gt;="&amp;$A102,Diario!$A$2:$A$301,"&lt;"&amp;$A102+7))</f>
        <v/>
      </c>
      <c r="H102" s="14">
        <f>IF(OR(A102="",B102=""),"",COUNTIFS(Diario!$B$2:$B$301,$B102,Diario!$A$2:$A$301,"&gt;="&amp;$A102,Diario!$A$2:$A$301,"&lt;"&amp;$A102+7,Diario!$I$2:$I$301,"&gt;0"))</f>
        <v/>
      </c>
      <c r="I102" s="9">
        <f>IF(OR(G102="",G102=0),"",H102/G102)</f>
        <v/>
      </c>
      <c r="J102" s="13">
        <f>IF(OR(A102="",B102=""),"",SUMIFS(Diario!$K$2:$K$301,Diario!$B$2:$B$301,$B102,Diario!$A$2:$A$301,"&gt;="&amp;$A102,Diario!$A$2:$A$301,"&lt;"&amp;$A102+7))</f>
        <v/>
      </c>
      <c r="K102" s="8">
        <f>IF(OR(D102="",B102=""),"",IFERROR(IF(INDEX(Cuentas!$J$2:$J$21,MATCH(B102,Cuentas!$A$2:$A$21,0))="","",D102-INDEX(Cuentas!$J$2:$J$21,MATCH(B102,Cuentas!$A$2:$A$21,0))),""))</f>
        <v/>
      </c>
      <c r="L102" s="6" t="n"/>
    </row>
    <row r="103">
      <c r="A103" s="12" t="n"/>
      <c r="B103" s="6" t="n"/>
      <c r="C103" s="7" t="n"/>
      <c r="D103" s="7" t="n"/>
      <c r="E103" s="8">
        <f>IF(OR(C103="",D103=""),"",D103-C103)</f>
        <v/>
      </c>
      <c r="F103" s="9">
        <f>IF(OR(C103="",D103="",C103=0),"",E103/C103)</f>
        <v/>
      </c>
      <c r="G103" s="14">
        <f>IF(OR(A103="",B103=""),"",COUNTIFS(Diario!$B$2:$B$301,$B103,Diario!$A$2:$A$301,"&gt;="&amp;$A103,Diario!$A$2:$A$301,"&lt;"&amp;$A103+7))</f>
        <v/>
      </c>
      <c r="H103" s="14">
        <f>IF(OR(A103="",B103=""),"",COUNTIFS(Diario!$B$2:$B$301,$B103,Diario!$A$2:$A$301,"&gt;="&amp;$A103,Diario!$A$2:$A$301,"&lt;"&amp;$A103+7,Diario!$I$2:$I$301,"&gt;0"))</f>
        <v/>
      </c>
      <c r="I103" s="9">
        <f>IF(OR(G103="",G103=0),"",H103/G103)</f>
        <v/>
      </c>
      <c r="J103" s="13">
        <f>IF(OR(A103="",B103=""),"",SUMIFS(Diario!$K$2:$K$301,Diario!$B$2:$B$301,$B103,Diario!$A$2:$A$301,"&gt;="&amp;$A103,Diario!$A$2:$A$301,"&lt;"&amp;$A103+7))</f>
        <v/>
      </c>
      <c r="K103" s="8">
        <f>IF(OR(D103="",B103=""),"",IFERROR(IF(INDEX(Cuentas!$J$2:$J$21,MATCH(B103,Cuentas!$A$2:$A$21,0))="","",D103-INDEX(Cuentas!$J$2:$J$21,MATCH(B103,Cuentas!$A$2:$A$21,0))),""))</f>
        <v/>
      </c>
      <c r="L103" s="6" t="n"/>
    </row>
    <row r="104">
      <c r="A104" s="12" t="n"/>
      <c r="B104" s="6" t="n"/>
      <c r="C104" s="7" t="n"/>
      <c r="D104" s="7" t="n"/>
      <c r="E104" s="8">
        <f>IF(OR(C104="",D104=""),"",D104-C104)</f>
        <v/>
      </c>
      <c r="F104" s="9">
        <f>IF(OR(C104="",D104="",C104=0),"",E104/C104)</f>
        <v/>
      </c>
      <c r="G104" s="14">
        <f>IF(OR(A104="",B104=""),"",COUNTIFS(Diario!$B$2:$B$301,$B104,Diario!$A$2:$A$301,"&gt;="&amp;$A104,Diario!$A$2:$A$301,"&lt;"&amp;$A104+7))</f>
        <v/>
      </c>
      <c r="H104" s="14">
        <f>IF(OR(A104="",B104=""),"",COUNTIFS(Diario!$B$2:$B$301,$B104,Diario!$A$2:$A$301,"&gt;="&amp;$A104,Diario!$A$2:$A$301,"&lt;"&amp;$A104+7,Diario!$I$2:$I$301,"&gt;0"))</f>
        <v/>
      </c>
      <c r="I104" s="9">
        <f>IF(OR(G104="",G104=0),"",H104/G104)</f>
        <v/>
      </c>
      <c r="J104" s="13">
        <f>IF(OR(A104="",B104=""),"",SUMIFS(Diario!$K$2:$K$301,Diario!$B$2:$B$301,$B104,Diario!$A$2:$A$301,"&gt;="&amp;$A104,Diario!$A$2:$A$301,"&lt;"&amp;$A104+7))</f>
        <v/>
      </c>
      <c r="K104" s="8">
        <f>IF(OR(D104="",B104=""),"",IFERROR(IF(INDEX(Cuentas!$J$2:$J$21,MATCH(B104,Cuentas!$A$2:$A$21,0))="","",D104-INDEX(Cuentas!$J$2:$J$21,MATCH(B104,Cuentas!$A$2:$A$21,0))),""))</f>
        <v/>
      </c>
      <c r="L104" s="6" t="n"/>
    </row>
    <row r="105">
      <c r="A105" s="12" t="n"/>
      <c r="B105" s="6" t="n"/>
      <c r="C105" s="7" t="n"/>
      <c r="D105" s="7" t="n"/>
      <c r="E105" s="8">
        <f>IF(OR(C105="",D105=""),"",D105-C105)</f>
        <v/>
      </c>
      <c r="F105" s="9">
        <f>IF(OR(C105="",D105="",C105=0),"",E105/C105)</f>
        <v/>
      </c>
      <c r="G105" s="14">
        <f>IF(OR(A105="",B105=""),"",COUNTIFS(Diario!$B$2:$B$301,$B105,Diario!$A$2:$A$301,"&gt;="&amp;$A105,Diario!$A$2:$A$301,"&lt;"&amp;$A105+7))</f>
        <v/>
      </c>
      <c r="H105" s="14">
        <f>IF(OR(A105="",B105=""),"",COUNTIFS(Diario!$B$2:$B$301,$B105,Diario!$A$2:$A$301,"&gt;="&amp;$A105,Diario!$A$2:$A$301,"&lt;"&amp;$A105+7,Diario!$I$2:$I$301,"&gt;0"))</f>
        <v/>
      </c>
      <c r="I105" s="9">
        <f>IF(OR(G105="",G105=0),"",H105/G105)</f>
        <v/>
      </c>
      <c r="J105" s="13">
        <f>IF(OR(A105="",B105=""),"",SUMIFS(Diario!$K$2:$K$301,Diario!$B$2:$B$301,$B105,Diario!$A$2:$A$301,"&gt;="&amp;$A105,Diario!$A$2:$A$301,"&lt;"&amp;$A105+7))</f>
        <v/>
      </c>
      <c r="K105" s="8">
        <f>IF(OR(D105="",B105=""),"",IFERROR(IF(INDEX(Cuentas!$J$2:$J$21,MATCH(B105,Cuentas!$A$2:$A$21,0))="","",D105-INDEX(Cuentas!$J$2:$J$21,MATCH(B105,Cuentas!$A$2:$A$21,0))),""))</f>
        <v/>
      </c>
      <c r="L105" s="6" t="n"/>
    </row>
    <row r="106">
      <c r="A106" s="12" t="n"/>
      <c r="B106" s="6" t="n"/>
      <c r="C106" s="7" t="n"/>
      <c r="D106" s="7" t="n"/>
      <c r="E106" s="8">
        <f>IF(OR(C106="",D106=""),"",D106-C106)</f>
        <v/>
      </c>
      <c r="F106" s="9">
        <f>IF(OR(C106="",D106="",C106=0),"",E106/C106)</f>
        <v/>
      </c>
      <c r="G106" s="14">
        <f>IF(OR(A106="",B106=""),"",COUNTIFS(Diario!$B$2:$B$301,$B106,Diario!$A$2:$A$301,"&gt;="&amp;$A106,Diario!$A$2:$A$301,"&lt;"&amp;$A106+7))</f>
        <v/>
      </c>
      <c r="H106" s="14">
        <f>IF(OR(A106="",B106=""),"",COUNTIFS(Diario!$B$2:$B$301,$B106,Diario!$A$2:$A$301,"&gt;="&amp;$A106,Diario!$A$2:$A$301,"&lt;"&amp;$A106+7,Diario!$I$2:$I$301,"&gt;0"))</f>
        <v/>
      </c>
      <c r="I106" s="9">
        <f>IF(OR(G106="",G106=0),"",H106/G106)</f>
        <v/>
      </c>
      <c r="J106" s="13">
        <f>IF(OR(A106="",B106=""),"",SUMIFS(Diario!$K$2:$K$301,Diario!$B$2:$B$301,$B106,Diario!$A$2:$A$301,"&gt;="&amp;$A106,Diario!$A$2:$A$301,"&lt;"&amp;$A106+7))</f>
        <v/>
      </c>
      <c r="K106" s="8">
        <f>IF(OR(D106="",B106=""),"",IFERROR(IF(INDEX(Cuentas!$J$2:$J$21,MATCH(B106,Cuentas!$A$2:$A$21,0))="","",D106-INDEX(Cuentas!$J$2:$J$21,MATCH(B106,Cuentas!$A$2:$A$21,0))),""))</f>
        <v/>
      </c>
      <c r="L106" s="6" t="n"/>
    </row>
    <row r="107">
      <c r="A107" s="12" t="n"/>
      <c r="B107" s="6" t="n"/>
      <c r="C107" s="7" t="n"/>
      <c r="D107" s="7" t="n"/>
      <c r="E107" s="8">
        <f>IF(OR(C107="",D107=""),"",D107-C107)</f>
        <v/>
      </c>
      <c r="F107" s="9">
        <f>IF(OR(C107="",D107="",C107=0),"",E107/C107)</f>
        <v/>
      </c>
      <c r="G107" s="14">
        <f>IF(OR(A107="",B107=""),"",COUNTIFS(Diario!$B$2:$B$301,$B107,Diario!$A$2:$A$301,"&gt;="&amp;$A107,Diario!$A$2:$A$301,"&lt;"&amp;$A107+7))</f>
        <v/>
      </c>
      <c r="H107" s="14">
        <f>IF(OR(A107="",B107=""),"",COUNTIFS(Diario!$B$2:$B$301,$B107,Diario!$A$2:$A$301,"&gt;="&amp;$A107,Diario!$A$2:$A$301,"&lt;"&amp;$A107+7,Diario!$I$2:$I$301,"&gt;0"))</f>
        <v/>
      </c>
      <c r="I107" s="9">
        <f>IF(OR(G107="",G107=0),"",H107/G107)</f>
        <v/>
      </c>
      <c r="J107" s="13">
        <f>IF(OR(A107="",B107=""),"",SUMIFS(Diario!$K$2:$K$301,Diario!$B$2:$B$301,$B107,Diario!$A$2:$A$301,"&gt;="&amp;$A107,Diario!$A$2:$A$301,"&lt;"&amp;$A107+7))</f>
        <v/>
      </c>
      <c r="K107" s="8">
        <f>IF(OR(D107="",B107=""),"",IFERROR(IF(INDEX(Cuentas!$J$2:$J$21,MATCH(B107,Cuentas!$A$2:$A$21,0))="","",D107-INDEX(Cuentas!$J$2:$J$21,MATCH(B107,Cuentas!$A$2:$A$21,0))),""))</f>
        <v/>
      </c>
      <c r="L107" s="6" t="n"/>
    </row>
    <row r="108">
      <c r="A108" s="12" t="n"/>
      <c r="B108" s="6" t="n"/>
      <c r="C108" s="7" t="n"/>
      <c r="D108" s="7" t="n"/>
      <c r="E108" s="8">
        <f>IF(OR(C108="",D108=""),"",D108-C108)</f>
        <v/>
      </c>
      <c r="F108" s="9">
        <f>IF(OR(C108="",D108="",C108=0),"",E108/C108)</f>
        <v/>
      </c>
      <c r="G108" s="14">
        <f>IF(OR(A108="",B108=""),"",COUNTIFS(Diario!$B$2:$B$301,$B108,Diario!$A$2:$A$301,"&gt;="&amp;$A108,Diario!$A$2:$A$301,"&lt;"&amp;$A108+7))</f>
        <v/>
      </c>
      <c r="H108" s="14">
        <f>IF(OR(A108="",B108=""),"",COUNTIFS(Diario!$B$2:$B$301,$B108,Diario!$A$2:$A$301,"&gt;="&amp;$A108,Diario!$A$2:$A$301,"&lt;"&amp;$A108+7,Diario!$I$2:$I$301,"&gt;0"))</f>
        <v/>
      </c>
      <c r="I108" s="9">
        <f>IF(OR(G108="",G108=0),"",H108/G108)</f>
        <v/>
      </c>
      <c r="J108" s="13">
        <f>IF(OR(A108="",B108=""),"",SUMIFS(Diario!$K$2:$K$301,Diario!$B$2:$B$301,$B108,Diario!$A$2:$A$301,"&gt;="&amp;$A108,Diario!$A$2:$A$301,"&lt;"&amp;$A108+7))</f>
        <v/>
      </c>
      <c r="K108" s="8">
        <f>IF(OR(D108="",B108=""),"",IFERROR(IF(INDEX(Cuentas!$J$2:$J$21,MATCH(B108,Cuentas!$A$2:$A$21,0))="","",D108-INDEX(Cuentas!$J$2:$J$21,MATCH(B108,Cuentas!$A$2:$A$21,0))),""))</f>
        <v/>
      </c>
      <c r="L108" s="6" t="n"/>
    </row>
    <row r="109">
      <c r="A109" s="12" t="n"/>
      <c r="B109" s="6" t="n"/>
      <c r="C109" s="7" t="n"/>
      <c r="D109" s="7" t="n"/>
      <c r="E109" s="8">
        <f>IF(OR(C109="",D109=""),"",D109-C109)</f>
        <v/>
      </c>
      <c r="F109" s="9">
        <f>IF(OR(C109="",D109="",C109=0),"",E109/C109)</f>
        <v/>
      </c>
      <c r="G109" s="14">
        <f>IF(OR(A109="",B109=""),"",COUNTIFS(Diario!$B$2:$B$301,$B109,Diario!$A$2:$A$301,"&gt;="&amp;$A109,Diario!$A$2:$A$301,"&lt;"&amp;$A109+7))</f>
        <v/>
      </c>
      <c r="H109" s="14">
        <f>IF(OR(A109="",B109=""),"",COUNTIFS(Diario!$B$2:$B$301,$B109,Diario!$A$2:$A$301,"&gt;="&amp;$A109,Diario!$A$2:$A$301,"&lt;"&amp;$A109+7,Diario!$I$2:$I$301,"&gt;0"))</f>
        <v/>
      </c>
      <c r="I109" s="9">
        <f>IF(OR(G109="",G109=0),"",H109/G109)</f>
        <v/>
      </c>
      <c r="J109" s="13">
        <f>IF(OR(A109="",B109=""),"",SUMIFS(Diario!$K$2:$K$301,Diario!$B$2:$B$301,$B109,Diario!$A$2:$A$301,"&gt;="&amp;$A109,Diario!$A$2:$A$301,"&lt;"&amp;$A109+7))</f>
        <v/>
      </c>
      <c r="K109" s="8">
        <f>IF(OR(D109="",B109=""),"",IFERROR(IF(INDEX(Cuentas!$J$2:$J$21,MATCH(B109,Cuentas!$A$2:$A$21,0))="","",D109-INDEX(Cuentas!$J$2:$J$21,MATCH(B109,Cuentas!$A$2:$A$21,0))),""))</f>
        <v/>
      </c>
      <c r="L109" s="6" t="n"/>
    </row>
    <row r="110">
      <c r="A110" s="12" t="n"/>
      <c r="B110" s="6" t="n"/>
      <c r="C110" s="7" t="n"/>
      <c r="D110" s="7" t="n"/>
      <c r="E110" s="8">
        <f>IF(OR(C110="",D110=""),"",D110-C110)</f>
        <v/>
      </c>
      <c r="F110" s="9">
        <f>IF(OR(C110="",D110="",C110=0),"",E110/C110)</f>
        <v/>
      </c>
      <c r="G110" s="14">
        <f>IF(OR(A110="",B110=""),"",COUNTIFS(Diario!$B$2:$B$301,$B110,Diario!$A$2:$A$301,"&gt;="&amp;$A110,Diario!$A$2:$A$301,"&lt;"&amp;$A110+7))</f>
        <v/>
      </c>
      <c r="H110" s="14">
        <f>IF(OR(A110="",B110=""),"",COUNTIFS(Diario!$B$2:$B$301,$B110,Diario!$A$2:$A$301,"&gt;="&amp;$A110,Diario!$A$2:$A$301,"&lt;"&amp;$A110+7,Diario!$I$2:$I$301,"&gt;0"))</f>
        <v/>
      </c>
      <c r="I110" s="9">
        <f>IF(OR(G110="",G110=0),"",H110/G110)</f>
        <v/>
      </c>
      <c r="J110" s="13">
        <f>IF(OR(A110="",B110=""),"",SUMIFS(Diario!$K$2:$K$301,Diario!$B$2:$B$301,$B110,Diario!$A$2:$A$301,"&gt;="&amp;$A110,Diario!$A$2:$A$301,"&lt;"&amp;$A110+7))</f>
        <v/>
      </c>
      <c r="K110" s="8">
        <f>IF(OR(D110="",B110=""),"",IFERROR(IF(INDEX(Cuentas!$J$2:$J$21,MATCH(B110,Cuentas!$A$2:$A$21,0))="","",D110-INDEX(Cuentas!$J$2:$J$21,MATCH(B110,Cuentas!$A$2:$A$21,0))),""))</f>
        <v/>
      </c>
      <c r="L110" s="6" t="n"/>
    </row>
    <row r="111">
      <c r="A111" s="12" t="n"/>
      <c r="B111" s="6" t="n"/>
      <c r="C111" s="7" t="n"/>
      <c r="D111" s="7" t="n"/>
      <c r="E111" s="8">
        <f>IF(OR(C111="",D111=""),"",D111-C111)</f>
        <v/>
      </c>
      <c r="F111" s="9">
        <f>IF(OR(C111="",D111="",C111=0),"",E111/C111)</f>
        <v/>
      </c>
      <c r="G111" s="14">
        <f>IF(OR(A111="",B111=""),"",COUNTIFS(Diario!$B$2:$B$301,$B111,Diario!$A$2:$A$301,"&gt;="&amp;$A111,Diario!$A$2:$A$301,"&lt;"&amp;$A111+7))</f>
        <v/>
      </c>
      <c r="H111" s="14">
        <f>IF(OR(A111="",B111=""),"",COUNTIFS(Diario!$B$2:$B$301,$B111,Diario!$A$2:$A$301,"&gt;="&amp;$A111,Diario!$A$2:$A$301,"&lt;"&amp;$A111+7,Diario!$I$2:$I$301,"&gt;0"))</f>
        <v/>
      </c>
      <c r="I111" s="9">
        <f>IF(OR(G111="",G111=0),"",H111/G111)</f>
        <v/>
      </c>
      <c r="J111" s="13">
        <f>IF(OR(A111="",B111=""),"",SUMIFS(Diario!$K$2:$K$301,Diario!$B$2:$B$301,$B111,Diario!$A$2:$A$301,"&gt;="&amp;$A111,Diario!$A$2:$A$301,"&lt;"&amp;$A111+7))</f>
        <v/>
      </c>
      <c r="K111" s="8">
        <f>IF(OR(D111="",B111=""),"",IFERROR(IF(INDEX(Cuentas!$J$2:$J$21,MATCH(B111,Cuentas!$A$2:$A$21,0))="","",D111-INDEX(Cuentas!$J$2:$J$21,MATCH(B111,Cuentas!$A$2:$A$21,0))),""))</f>
        <v/>
      </c>
      <c r="L111" s="6" t="n"/>
    </row>
    <row r="112">
      <c r="A112" s="12" t="n"/>
      <c r="B112" s="6" t="n"/>
      <c r="C112" s="7" t="n"/>
      <c r="D112" s="7" t="n"/>
      <c r="E112" s="8">
        <f>IF(OR(C112="",D112=""),"",D112-C112)</f>
        <v/>
      </c>
      <c r="F112" s="9">
        <f>IF(OR(C112="",D112="",C112=0),"",E112/C112)</f>
        <v/>
      </c>
      <c r="G112" s="14">
        <f>IF(OR(A112="",B112=""),"",COUNTIFS(Diario!$B$2:$B$301,$B112,Diario!$A$2:$A$301,"&gt;="&amp;$A112,Diario!$A$2:$A$301,"&lt;"&amp;$A112+7))</f>
        <v/>
      </c>
      <c r="H112" s="14">
        <f>IF(OR(A112="",B112=""),"",COUNTIFS(Diario!$B$2:$B$301,$B112,Diario!$A$2:$A$301,"&gt;="&amp;$A112,Diario!$A$2:$A$301,"&lt;"&amp;$A112+7,Diario!$I$2:$I$301,"&gt;0"))</f>
        <v/>
      </c>
      <c r="I112" s="9">
        <f>IF(OR(G112="",G112=0),"",H112/G112)</f>
        <v/>
      </c>
      <c r="J112" s="13">
        <f>IF(OR(A112="",B112=""),"",SUMIFS(Diario!$K$2:$K$301,Diario!$B$2:$B$301,$B112,Diario!$A$2:$A$301,"&gt;="&amp;$A112,Diario!$A$2:$A$301,"&lt;"&amp;$A112+7))</f>
        <v/>
      </c>
      <c r="K112" s="8">
        <f>IF(OR(D112="",B112=""),"",IFERROR(IF(INDEX(Cuentas!$J$2:$J$21,MATCH(B112,Cuentas!$A$2:$A$21,0))="","",D112-INDEX(Cuentas!$J$2:$J$21,MATCH(B112,Cuentas!$A$2:$A$21,0))),""))</f>
        <v/>
      </c>
      <c r="L112" s="6" t="n"/>
    </row>
    <row r="113">
      <c r="A113" s="12" t="n"/>
      <c r="B113" s="6" t="n"/>
      <c r="C113" s="7" t="n"/>
      <c r="D113" s="7" t="n"/>
      <c r="E113" s="8">
        <f>IF(OR(C113="",D113=""),"",D113-C113)</f>
        <v/>
      </c>
      <c r="F113" s="9">
        <f>IF(OR(C113="",D113="",C113=0),"",E113/C113)</f>
        <v/>
      </c>
      <c r="G113" s="14">
        <f>IF(OR(A113="",B113=""),"",COUNTIFS(Diario!$B$2:$B$301,$B113,Diario!$A$2:$A$301,"&gt;="&amp;$A113,Diario!$A$2:$A$301,"&lt;"&amp;$A113+7))</f>
        <v/>
      </c>
      <c r="H113" s="14">
        <f>IF(OR(A113="",B113=""),"",COUNTIFS(Diario!$B$2:$B$301,$B113,Diario!$A$2:$A$301,"&gt;="&amp;$A113,Diario!$A$2:$A$301,"&lt;"&amp;$A113+7,Diario!$I$2:$I$301,"&gt;0"))</f>
        <v/>
      </c>
      <c r="I113" s="9">
        <f>IF(OR(G113="",G113=0),"",H113/G113)</f>
        <v/>
      </c>
      <c r="J113" s="13">
        <f>IF(OR(A113="",B113=""),"",SUMIFS(Diario!$K$2:$K$301,Diario!$B$2:$B$301,$B113,Diario!$A$2:$A$301,"&gt;="&amp;$A113,Diario!$A$2:$A$301,"&lt;"&amp;$A113+7))</f>
        <v/>
      </c>
      <c r="K113" s="8">
        <f>IF(OR(D113="",B113=""),"",IFERROR(IF(INDEX(Cuentas!$J$2:$J$21,MATCH(B113,Cuentas!$A$2:$A$21,0))="","",D113-INDEX(Cuentas!$J$2:$J$21,MATCH(B113,Cuentas!$A$2:$A$21,0))),""))</f>
        <v/>
      </c>
      <c r="L113" s="6" t="n"/>
    </row>
    <row r="114">
      <c r="A114" s="12" t="n"/>
      <c r="B114" s="6" t="n"/>
      <c r="C114" s="7" t="n"/>
      <c r="D114" s="7" t="n"/>
      <c r="E114" s="8">
        <f>IF(OR(C114="",D114=""),"",D114-C114)</f>
        <v/>
      </c>
      <c r="F114" s="9">
        <f>IF(OR(C114="",D114="",C114=0),"",E114/C114)</f>
        <v/>
      </c>
      <c r="G114" s="14">
        <f>IF(OR(A114="",B114=""),"",COUNTIFS(Diario!$B$2:$B$301,$B114,Diario!$A$2:$A$301,"&gt;="&amp;$A114,Diario!$A$2:$A$301,"&lt;"&amp;$A114+7))</f>
        <v/>
      </c>
      <c r="H114" s="14">
        <f>IF(OR(A114="",B114=""),"",COUNTIFS(Diario!$B$2:$B$301,$B114,Diario!$A$2:$A$301,"&gt;="&amp;$A114,Diario!$A$2:$A$301,"&lt;"&amp;$A114+7,Diario!$I$2:$I$301,"&gt;0"))</f>
        <v/>
      </c>
      <c r="I114" s="9">
        <f>IF(OR(G114="",G114=0),"",H114/G114)</f>
        <v/>
      </c>
      <c r="J114" s="13">
        <f>IF(OR(A114="",B114=""),"",SUMIFS(Diario!$K$2:$K$301,Diario!$B$2:$B$301,$B114,Diario!$A$2:$A$301,"&gt;="&amp;$A114,Diario!$A$2:$A$301,"&lt;"&amp;$A114+7))</f>
        <v/>
      </c>
      <c r="K114" s="8">
        <f>IF(OR(D114="",B114=""),"",IFERROR(IF(INDEX(Cuentas!$J$2:$J$21,MATCH(B114,Cuentas!$A$2:$A$21,0))="","",D114-INDEX(Cuentas!$J$2:$J$21,MATCH(B114,Cuentas!$A$2:$A$21,0))),""))</f>
        <v/>
      </c>
      <c r="L114" s="6" t="n"/>
    </row>
    <row r="115">
      <c r="A115" s="12" t="n"/>
      <c r="B115" s="6" t="n"/>
      <c r="C115" s="7" t="n"/>
      <c r="D115" s="7" t="n"/>
      <c r="E115" s="8">
        <f>IF(OR(C115="",D115=""),"",D115-C115)</f>
        <v/>
      </c>
      <c r="F115" s="9">
        <f>IF(OR(C115="",D115="",C115=0),"",E115/C115)</f>
        <v/>
      </c>
      <c r="G115" s="14">
        <f>IF(OR(A115="",B115=""),"",COUNTIFS(Diario!$B$2:$B$301,$B115,Diario!$A$2:$A$301,"&gt;="&amp;$A115,Diario!$A$2:$A$301,"&lt;"&amp;$A115+7))</f>
        <v/>
      </c>
      <c r="H115" s="14">
        <f>IF(OR(A115="",B115=""),"",COUNTIFS(Diario!$B$2:$B$301,$B115,Diario!$A$2:$A$301,"&gt;="&amp;$A115,Diario!$A$2:$A$301,"&lt;"&amp;$A115+7,Diario!$I$2:$I$301,"&gt;0"))</f>
        <v/>
      </c>
      <c r="I115" s="9">
        <f>IF(OR(G115="",G115=0),"",H115/G115)</f>
        <v/>
      </c>
      <c r="J115" s="13">
        <f>IF(OR(A115="",B115=""),"",SUMIFS(Diario!$K$2:$K$301,Diario!$B$2:$B$301,$B115,Diario!$A$2:$A$301,"&gt;="&amp;$A115,Diario!$A$2:$A$301,"&lt;"&amp;$A115+7))</f>
        <v/>
      </c>
      <c r="K115" s="8">
        <f>IF(OR(D115="",B115=""),"",IFERROR(IF(INDEX(Cuentas!$J$2:$J$21,MATCH(B115,Cuentas!$A$2:$A$21,0))="","",D115-INDEX(Cuentas!$J$2:$J$21,MATCH(B115,Cuentas!$A$2:$A$21,0))),""))</f>
        <v/>
      </c>
      <c r="L115" s="6" t="n"/>
    </row>
    <row r="116">
      <c r="A116" s="12" t="n"/>
      <c r="B116" s="6" t="n"/>
      <c r="C116" s="7" t="n"/>
      <c r="D116" s="7" t="n"/>
      <c r="E116" s="8">
        <f>IF(OR(C116="",D116=""),"",D116-C116)</f>
        <v/>
      </c>
      <c r="F116" s="9">
        <f>IF(OR(C116="",D116="",C116=0),"",E116/C116)</f>
        <v/>
      </c>
      <c r="G116" s="14">
        <f>IF(OR(A116="",B116=""),"",COUNTIFS(Diario!$B$2:$B$301,$B116,Diario!$A$2:$A$301,"&gt;="&amp;$A116,Diario!$A$2:$A$301,"&lt;"&amp;$A116+7))</f>
        <v/>
      </c>
      <c r="H116" s="14">
        <f>IF(OR(A116="",B116=""),"",COUNTIFS(Diario!$B$2:$B$301,$B116,Diario!$A$2:$A$301,"&gt;="&amp;$A116,Diario!$A$2:$A$301,"&lt;"&amp;$A116+7,Diario!$I$2:$I$301,"&gt;0"))</f>
        <v/>
      </c>
      <c r="I116" s="9">
        <f>IF(OR(G116="",G116=0),"",H116/G116)</f>
        <v/>
      </c>
      <c r="J116" s="13">
        <f>IF(OR(A116="",B116=""),"",SUMIFS(Diario!$K$2:$K$301,Diario!$B$2:$B$301,$B116,Diario!$A$2:$A$301,"&gt;="&amp;$A116,Diario!$A$2:$A$301,"&lt;"&amp;$A116+7))</f>
        <v/>
      </c>
      <c r="K116" s="8">
        <f>IF(OR(D116="",B116=""),"",IFERROR(IF(INDEX(Cuentas!$J$2:$J$21,MATCH(B116,Cuentas!$A$2:$A$21,0))="","",D116-INDEX(Cuentas!$J$2:$J$21,MATCH(B116,Cuentas!$A$2:$A$21,0))),""))</f>
        <v/>
      </c>
      <c r="L116" s="6" t="n"/>
    </row>
    <row r="117">
      <c r="A117" s="12" t="n"/>
      <c r="B117" s="6" t="n"/>
      <c r="C117" s="7" t="n"/>
      <c r="D117" s="7" t="n"/>
      <c r="E117" s="8">
        <f>IF(OR(C117="",D117=""),"",D117-C117)</f>
        <v/>
      </c>
      <c r="F117" s="9">
        <f>IF(OR(C117="",D117="",C117=0),"",E117/C117)</f>
        <v/>
      </c>
      <c r="G117" s="14">
        <f>IF(OR(A117="",B117=""),"",COUNTIFS(Diario!$B$2:$B$301,$B117,Diario!$A$2:$A$301,"&gt;="&amp;$A117,Diario!$A$2:$A$301,"&lt;"&amp;$A117+7))</f>
        <v/>
      </c>
      <c r="H117" s="14">
        <f>IF(OR(A117="",B117=""),"",COUNTIFS(Diario!$B$2:$B$301,$B117,Diario!$A$2:$A$301,"&gt;="&amp;$A117,Diario!$A$2:$A$301,"&lt;"&amp;$A117+7,Diario!$I$2:$I$301,"&gt;0"))</f>
        <v/>
      </c>
      <c r="I117" s="9">
        <f>IF(OR(G117="",G117=0),"",H117/G117)</f>
        <v/>
      </c>
      <c r="J117" s="13">
        <f>IF(OR(A117="",B117=""),"",SUMIFS(Diario!$K$2:$K$301,Diario!$B$2:$B$301,$B117,Diario!$A$2:$A$301,"&gt;="&amp;$A117,Diario!$A$2:$A$301,"&lt;"&amp;$A117+7))</f>
        <v/>
      </c>
      <c r="K117" s="8">
        <f>IF(OR(D117="",B117=""),"",IFERROR(IF(INDEX(Cuentas!$J$2:$J$21,MATCH(B117,Cuentas!$A$2:$A$21,0))="","",D117-INDEX(Cuentas!$J$2:$J$21,MATCH(B117,Cuentas!$A$2:$A$21,0))),""))</f>
        <v/>
      </c>
      <c r="L117" s="6" t="n"/>
    </row>
    <row r="118">
      <c r="A118" s="12" t="n"/>
      <c r="B118" s="6" t="n"/>
      <c r="C118" s="7" t="n"/>
      <c r="D118" s="7" t="n"/>
      <c r="E118" s="8">
        <f>IF(OR(C118="",D118=""),"",D118-C118)</f>
        <v/>
      </c>
      <c r="F118" s="9">
        <f>IF(OR(C118="",D118="",C118=0),"",E118/C118)</f>
        <v/>
      </c>
      <c r="G118" s="14">
        <f>IF(OR(A118="",B118=""),"",COUNTIFS(Diario!$B$2:$B$301,$B118,Diario!$A$2:$A$301,"&gt;="&amp;$A118,Diario!$A$2:$A$301,"&lt;"&amp;$A118+7))</f>
        <v/>
      </c>
      <c r="H118" s="14">
        <f>IF(OR(A118="",B118=""),"",COUNTIFS(Diario!$B$2:$B$301,$B118,Diario!$A$2:$A$301,"&gt;="&amp;$A118,Diario!$A$2:$A$301,"&lt;"&amp;$A118+7,Diario!$I$2:$I$301,"&gt;0"))</f>
        <v/>
      </c>
      <c r="I118" s="9">
        <f>IF(OR(G118="",G118=0),"",H118/G118)</f>
        <v/>
      </c>
      <c r="J118" s="13">
        <f>IF(OR(A118="",B118=""),"",SUMIFS(Diario!$K$2:$K$301,Diario!$B$2:$B$301,$B118,Diario!$A$2:$A$301,"&gt;="&amp;$A118,Diario!$A$2:$A$301,"&lt;"&amp;$A118+7))</f>
        <v/>
      </c>
      <c r="K118" s="8">
        <f>IF(OR(D118="",B118=""),"",IFERROR(IF(INDEX(Cuentas!$J$2:$J$21,MATCH(B118,Cuentas!$A$2:$A$21,0))="","",D118-INDEX(Cuentas!$J$2:$J$21,MATCH(B118,Cuentas!$A$2:$A$21,0))),""))</f>
        <v/>
      </c>
      <c r="L118" s="6" t="n"/>
    </row>
    <row r="119">
      <c r="A119" s="12" t="n"/>
      <c r="B119" s="6" t="n"/>
      <c r="C119" s="7" t="n"/>
      <c r="D119" s="7" t="n"/>
      <c r="E119" s="8">
        <f>IF(OR(C119="",D119=""),"",D119-C119)</f>
        <v/>
      </c>
      <c r="F119" s="9">
        <f>IF(OR(C119="",D119="",C119=0),"",E119/C119)</f>
        <v/>
      </c>
      <c r="G119" s="14">
        <f>IF(OR(A119="",B119=""),"",COUNTIFS(Diario!$B$2:$B$301,$B119,Diario!$A$2:$A$301,"&gt;="&amp;$A119,Diario!$A$2:$A$301,"&lt;"&amp;$A119+7))</f>
        <v/>
      </c>
      <c r="H119" s="14">
        <f>IF(OR(A119="",B119=""),"",COUNTIFS(Diario!$B$2:$B$301,$B119,Diario!$A$2:$A$301,"&gt;="&amp;$A119,Diario!$A$2:$A$301,"&lt;"&amp;$A119+7,Diario!$I$2:$I$301,"&gt;0"))</f>
        <v/>
      </c>
      <c r="I119" s="9">
        <f>IF(OR(G119="",G119=0),"",H119/G119)</f>
        <v/>
      </c>
      <c r="J119" s="13">
        <f>IF(OR(A119="",B119=""),"",SUMIFS(Diario!$K$2:$K$301,Diario!$B$2:$B$301,$B119,Diario!$A$2:$A$301,"&gt;="&amp;$A119,Diario!$A$2:$A$301,"&lt;"&amp;$A119+7))</f>
        <v/>
      </c>
      <c r="K119" s="8">
        <f>IF(OR(D119="",B119=""),"",IFERROR(IF(INDEX(Cuentas!$J$2:$J$21,MATCH(B119,Cuentas!$A$2:$A$21,0))="","",D119-INDEX(Cuentas!$J$2:$J$21,MATCH(B119,Cuentas!$A$2:$A$21,0))),""))</f>
        <v/>
      </c>
      <c r="L119" s="6" t="n"/>
    </row>
    <row r="120">
      <c r="A120" s="12" t="n"/>
      <c r="B120" s="6" t="n"/>
      <c r="C120" s="7" t="n"/>
      <c r="D120" s="7" t="n"/>
      <c r="E120" s="8">
        <f>IF(OR(C120="",D120=""),"",D120-C120)</f>
        <v/>
      </c>
      <c r="F120" s="9">
        <f>IF(OR(C120="",D120="",C120=0),"",E120/C120)</f>
        <v/>
      </c>
      <c r="G120" s="14">
        <f>IF(OR(A120="",B120=""),"",COUNTIFS(Diario!$B$2:$B$301,$B120,Diario!$A$2:$A$301,"&gt;="&amp;$A120,Diario!$A$2:$A$301,"&lt;"&amp;$A120+7))</f>
        <v/>
      </c>
      <c r="H120" s="14">
        <f>IF(OR(A120="",B120=""),"",COUNTIFS(Diario!$B$2:$B$301,$B120,Diario!$A$2:$A$301,"&gt;="&amp;$A120,Diario!$A$2:$A$301,"&lt;"&amp;$A120+7,Diario!$I$2:$I$301,"&gt;0"))</f>
        <v/>
      </c>
      <c r="I120" s="9">
        <f>IF(OR(G120="",G120=0),"",H120/G120)</f>
        <v/>
      </c>
      <c r="J120" s="13">
        <f>IF(OR(A120="",B120=""),"",SUMIFS(Diario!$K$2:$K$301,Diario!$B$2:$B$301,$B120,Diario!$A$2:$A$301,"&gt;="&amp;$A120,Diario!$A$2:$A$301,"&lt;"&amp;$A120+7))</f>
        <v/>
      </c>
      <c r="K120" s="8">
        <f>IF(OR(D120="",B120=""),"",IFERROR(IF(INDEX(Cuentas!$J$2:$J$21,MATCH(B120,Cuentas!$A$2:$A$21,0))="","",D120-INDEX(Cuentas!$J$2:$J$21,MATCH(B120,Cuentas!$A$2:$A$21,0))),""))</f>
        <v/>
      </c>
      <c r="L120" s="6" t="n"/>
    </row>
    <row r="121">
      <c r="A121" s="12" t="n"/>
      <c r="B121" s="6" t="n"/>
      <c r="C121" s="7" t="n"/>
      <c r="D121" s="7" t="n"/>
      <c r="E121" s="8">
        <f>IF(OR(C121="",D121=""),"",D121-C121)</f>
        <v/>
      </c>
      <c r="F121" s="9">
        <f>IF(OR(C121="",D121="",C121=0),"",E121/C121)</f>
        <v/>
      </c>
      <c r="G121" s="14">
        <f>IF(OR(A121="",B121=""),"",COUNTIFS(Diario!$B$2:$B$301,$B121,Diario!$A$2:$A$301,"&gt;="&amp;$A121,Diario!$A$2:$A$301,"&lt;"&amp;$A121+7))</f>
        <v/>
      </c>
      <c r="H121" s="14">
        <f>IF(OR(A121="",B121=""),"",COUNTIFS(Diario!$B$2:$B$301,$B121,Diario!$A$2:$A$301,"&gt;="&amp;$A121,Diario!$A$2:$A$301,"&lt;"&amp;$A121+7,Diario!$I$2:$I$301,"&gt;0"))</f>
        <v/>
      </c>
      <c r="I121" s="9">
        <f>IF(OR(G121="",G121=0),"",H121/G121)</f>
        <v/>
      </c>
      <c r="J121" s="13">
        <f>IF(OR(A121="",B121=""),"",SUMIFS(Diario!$K$2:$K$301,Diario!$B$2:$B$301,$B121,Diario!$A$2:$A$301,"&gt;="&amp;$A121,Diario!$A$2:$A$301,"&lt;"&amp;$A121+7))</f>
        <v/>
      </c>
      <c r="K121" s="8">
        <f>IF(OR(D121="",B121=""),"",IFERROR(IF(INDEX(Cuentas!$J$2:$J$21,MATCH(B121,Cuentas!$A$2:$A$21,0))="","",D121-INDEX(Cuentas!$J$2:$J$21,MATCH(B121,Cuentas!$A$2:$A$21,0))),""))</f>
        <v/>
      </c>
      <c r="L121" s="6" t="n"/>
    </row>
    <row r="122">
      <c r="A122" s="12" t="n"/>
      <c r="B122" s="6" t="n"/>
      <c r="C122" s="7" t="n"/>
      <c r="D122" s="7" t="n"/>
      <c r="E122" s="8">
        <f>IF(OR(C122="",D122=""),"",D122-C122)</f>
        <v/>
      </c>
      <c r="F122" s="9">
        <f>IF(OR(C122="",D122="",C122=0),"",E122/C122)</f>
        <v/>
      </c>
      <c r="G122" s="14">
        <f>IF(OR(A122="",B122=""),"",COUNTIFS(Diario!$B$2:$B$301,$B122,Diario!$A$2:$A$301,"&gt;="&amp;$A122,Diario!$A$2:$A$301,"&lt;"&amp;$A122+7))</f>
        <v/>
      </c>
      <c r="H122" s="14">
        <f>IF(OR(A122="",B122=""),"",COUNTIFS(Diario!$B$2:$B$301,$B122,Diario!$A$2:$A$301,"&gt;="&amp;$A122,Diario!$A$2:$A$301,"&lt;"&amp;$A122+7,Diario!$I$2:$I$301,"&gt;0"))</f>
        <v/>
      </c>
      <c r="I122" s="9">
        <f>IF(OR(G122="",G122=0),"",H122/G122)</f>
        <v/>
      </c>
      <c r="J122" s="13">
        <f>IF(OR(A122="",B122=""),"",SUMIFS(Diario!$K$2:$K$301,Diario!$B$2:$B$301,$B122,Diario!$A$2:$A$301,"&gt;="&amp;$A122,Diario!$A$2:$A$301,"&lt;"&amp;$A122+7))</f>
        <v/>
      </c>
      <c r="K122" s="8">
        <f>IF(OR(D122="",B122=""),"",IFERROR(IF(INDEX(Cuentas!$J$2:$J$21,MATCH(B122,Cuentas!$A$2:$A$21,0))="","",D122-INDEX(Cuentas!$J$2:$J$21,MATCH(B122,Cuentas!$A$2:$A$21,0))),""))</f>
        <v/>
      </c>
      <c r="L122" s="6" t="n"/>
    </row>
    <row r="123">
      <c r="A123" s="12" t="n"/>
      <c r="B123" s="6" t="n"/>
      <c r="C123" s="7" t="n"/>
      <c r="D123" s="7" t="n"/>
      <c r="E123" s="8">
        <f>IF(OR(C123="",D123=""),"",D123-C123)</f>
        <v/>
      </c>
      <c r="F123" s="9">
        <f>IF(OR(C123="",D123="",C123=0),"",E123/C123)</f>
        <v/>
      </c>
      <c r="G123" s="14">
        <f>IF(OR(A123="",B123=""),"",COUNTIFS(Diario!$B$2:$B$301,$B123,Diario!$A$2:$A$301,"&gt;="&amp;$A123,Diario!$A$2:$A$301,"&lt;"&amp;$A123+7))</f>
        <v/>
      </c>
      <c r="H123" s="14">
        <f>IF(OR(A123="",B123=""),"",COUNTIFS(Diario!$B$2:$B$301,$B123,Diario!$A$2:$A$301,"&gt;="&amp;$A123,Diario!$A$2:$A$301,"&lt;"&amp;$A123+7,Diario!$I$2:$I$301,"&gt;0"))</f>
        <v/>
      </c>
      <c r="I123" s="9">
        <f>IF(OR(G123="",G123=0),"",H123/G123)</f>
        <v/>
      </c>
      <c r="J123" s="13">
        <f>IF(OR(A123="",B123=""),"",SUMIFS(Diario!$K$2:$K$301,Diario!$B$2:$B$301,$B123,Diario!$A$2:$A$301,"&gt;="&amp;$A123,Diario!$A$2:$A$301,"&lt;"&amp;$A123+7))</f>
        <v/>
      </c>
      <c r="K123" s="8">
        <f>IF(OR(D123="",B123=""),"",IFERROR(IF(INDEX(Cuentas!$J$2:$J$21,MATCH(B123,Cuentas!$A$2:$A$21,0))="","",D123-INDEX(Cuentas!$J$2:$J$21,MATCH(B123,Cuentas!$A$2:$A$21,0))),""))</f>
        <v/>
      </c>
      <c r="L123" s="6" t="n"/>
    </row>
    <row r="124">
      <c r="A124" s="12" t="n"/>
      <c r="B124" s="6" t="n"/>
      <c r="C124" s="7" t="n"/>
      <c r="D124" s="7" t="n"/>
      <c r="E124" s="8">
        <f>IF(OR(C124="",D124=""),"",D124-C124)</f>
        <v/>
      </c>
      <c r="F124" s="9">
        <f>IF(OR(C124="",D124="",C124=0),"",E124/C124)</f>
        <v/>
      </c>
      <c r="G124" s="14">
        <f>IF(OR(A124="",B124=""),"",COUNTIFS(Diario!$B$2:$B$301,$B124,Diario!$A$2:$A$301,"&gt;="&amp;$A124,Diario!$A$2:$A$301,"&lt;"&amp;$A124+7))</f>
        <v/>
      </c>
      <c r="H124" s="14">
        <f>IF(OR(A124="",B124=""),"",COUNTIFS(Diario!$B$2:$B$301,$B124,Diario!$A$2:$A$301,"&gt;="&amp;$A124,Diario!$A$2:$A$301,"&lt;"&amp;$A124+7,Diario!$I$2:$I$301,"&gt;0"))</f>
        <v/>
      </c>
      <c r="I124" s="9">
        <f>IF(OR(G124="",G124=0),"",H124/G124)</f>
        <v/>
      </c>
      <c r="J124" s="13">
        <f>IF(OR(A124="",B124=""),"",SUMIFS(Diario!$K$2:$K$301,Diario!$B$2:$B$301,$B124,Diario!$A$2:$A$301,"&gt;="&amp;$A124,Diario!$A$2:$A$301,"&lt;"&amp;$A124+7))</f>
        <v/>
      </c>
      <c r="K124" s="8">
        <f>IF(OR(D124="",B124=""),"",IFERROR(IF(INDEX(Cuentas!$J$2:$J$21,MATCH(B124,Cuentas!$A$2:$A$21,0))="","",D124-INDEX(Cuentas!$J$2:$J$21,MATCH(B124,Cuentas!$A$2:$A$21,0))),""))</f>
        <v/>
      </c>
      <c r="L124" s="6" t="n"/>
    </row>
    <row r="125">
      <c r="A125" s="12" t="n"/>
      <c r="B125" s="6" t="n"/>
      <c r="C125" s="7" t="n"/>
      <c r="D125" s="7" t="n"/>
      <c r="E125" s="8">
        <f>IF(OR(C125="",D125=""),"",D125-C125)</f>
        <v/>
      </c>
      <c r="F125" s="9">
        <f>IF(OR(C125="",D125="",C125=0),"",E125/C125)</f>
        <v/>
      </c>
      <c r="G125" s="14">
        <f>IF(OR(A125="",B125=""),"",COUNTIFS(Diario!$B$2:$B$301,$B125,Diario!$A$2:$A$301,"&gt;="&amp;$A125,Diario!$A$2:$A$301,"&lt;"&amp;$A125+7))</f>
        <v/>
      </c>
      <c r="H125" s="14">
        <f>IF(OR(A125="",B125=""),"",COUNTIFS(Diario!$B$2:$B$301,$B125,Diario!$A$2:$A$301,"&gt;="&amp;$A125,Diario!$A$2:$A$301,"&lt;"&amp;$A125+7,Diario!$I$2:$I$301,"&gt;0"))</f>
        <v/>
      </c>
      <c r="I125" s="9">
        <f>IF(OR(G125="",G125=0),"",H125/G125)</f>
        <v/>
      </c>
      <c r="J125" s="13">
        <f>IF(OR(A125="",B125=""),"",SUMIFS(Diario!$K$2:$K$301,Diario!$B$2:$B$301,$B125,Diario!$A$2:$A$301,"&gt;="&amp;$A125,Diario!$A$2:$A$301,"&lt;"&amp;$A125+7))</f>
        <v/>
      </c>
      <c r="K125" s="8">
        <f>IF(OR(D125="",B125=""),"",IFERROR(IF(INDEX(Cuentas!$J$2:$J$21,MATCH(B125,Cuentas!$A$2:$A$21,0))="","",D125-INDEX(Cuentas!$J$2:$J$21,MATCH(B125,Cuentas!$A$2:$A$21,0))),""))</f>
        <v/>
      </c>
      <c r="L125" s="6" t="n"/>
    </row>
    <row r="126">
      <c r="A126" s="12" t="n"/>
      <c r="B126" s="6" t="n"/>
      <c r="C126" s="7" t="n"/>
      <c r="D126" s="7" t="n"/>
      <c r="E126" s="8">
        <f>IF(OR(C126="",D126=""),"",D126-C126)</f>
        <v/>
      </c>
      <c r="F126" s="9">
        <f>IF(OR(C126="",D126="",C126=0),"",E126/C126)</f>
        <v/>
      </c>
      <c r="G126" s="14">
        <f>IF(OR(A126="",B126=""),"",COUNTIFS(Diario!$B$2:$B$301,$B126,Diario!$A$2:$A$301,"&gt;="&amp;$A126,Diario!$A$2:$A$301,"&lt;"&amp;$A126+7))</f>
        <v/>
      </c>
      <c r="H126" s="14">
        <f>IF(OR(A126="",B126=""),"",COUNTIFS(Diario!$B$2:$B$301,$B126,Diario!$A$2:$A$301,"&gt;="&amp;$A126,Diario!$A$2:$A$301,"&lt;"&amp;$A126+7,Diario!$I$2:$I$301,"&gt;0"))</f>
        <v/>
      </c>
      <c r="I126" s="9">
        <f>IF(OR(G126="",G126=0),"",H126/G126)</f>
        <v/>
      </c>
      <c r="J126" s="13">
        <f>IF(OR(A126="",B126=""),"",SUMIFS(Diario!$K$2:$K$301,Diario!$B$2:$B$301,$B126,Diario!$A$2:$A$301,"&gt;="&amp;$A126,Diario!$A$2:$A$301,"&lt;"&amp;$A126+7))</f>
        <v/>
      </c>
      <c r="K126" s="8">
        <f>IF(OR(D126="",B126=""),"",IFERROR(IF(INDEX(Cuentas!$J$2:$J$21,MATCH(B126,Cuentas!$A$2:$A$21,0))="","",D126-INDEX(Cuentas!$J$2:$J$21,MATCH(B126,Cuentas!$A$2:$A$21,0))),""))</f>
        <v/>
      </c>
      <c r="L126" s="6" t="n"/>
    </row>
    <row r="127">
      <c r="A127" s="12" t="n"/>
      <c r="B127" s="6" t="n"/>
      <c r="C127" s="7" t="n"/>
      <c r="D127" s="7" t="n"/>
      <c r="E127" s="8">
        <f>IF(OR(C127="",D127=""),"",D127-C127)</f>
        <v/>
      </c>
      <c r="F127" s="9">
        <f>IF(OR(C127="",D127="",C127=0),"",E127/C127)</f>
        <v/>
      </c>
      <c r="G127" s="14">
        <f>IF(OR(A127="",B127=""),"",COUNTIFS(Diario!$B$2:$B$301,$B127,Diario!$A$2:$A$301,"&gt;="&amp;$A127,Diario!$A$2:$A$301,"&lt;"&amp;$A127+7))</f>
        <v/>
      </c>
      <c r="H127" s="14">
        <f>IF(OR(A127="",B127=""),"",COUNTIFS(Diario!$B$2:$B$301,$B127,Diario!$A$2:$A$301,"&gt;="&amp;$A127,Diario!$A$2:$A$301,"&lt;"&amp;$A127+7,Diario!$I$2:$I$301,"&gt;0"))</f>
        <v/>
      </c>
      <c r="I127" s="9">
        <f>IF(OR(G127="",G127=0),"",H127/G127)</f>
        <v/>
      </c>
      <c r="J127" s="13">
        <f>IF(OR(A127="",B127=""),"",SUMIFS(Diario!$K$2:$K$301,Diario!$B$2:$B$301,$B127,Diario!$A$2:$A$301,"&gt;="&amp;$A127,Diario!$A$2:$A$301,"&lt;"&amp;$A127+7))</f>
        <v/>
      </c>
      <c r="K127" s="8">
        <f>IF(OR(D127="",B127=""),"",IFERROR(IF(INDEX(Cuentas!$J$2:$J$21,MATCH(B127,Cuentas!$A$2:$A$21,0))="","",D127-INDEX(Cuentas!$J$2:$J$21,MATCH(B127,Cuentas!$A$2:$A$21,0))),""))</f>
        <v/>
      </c>
      <c r="L127" s="6" t="n"/>
    </row>
    <row r="128">
      <c r="A128" s="12" t="n"/>
      <c r="B128" s="6" t="n"/>
      <c r="C128" s="7" t="n"/>
      <c r="D128" s="7" t="n"/>
      <c r="E128" s="8">
        <f>IF(OR(C128="",D128=""),"",D128-C128)</f>
        <v/>
      </c>
      <c r="F128" s="9">
        <f>IF(OR(C128="",D128="",C128=0),"",E128/C128)</f>
        <v/>
      </c>
      <c r="G128" s="14">
        <f>IF(OR(A128="",B128=""),"",COUNTIFS(Diario!$B$2:$B$301,$B128,Diario!$A$2:$A$301,"&gt;="&amp;$A128,Diario!$A$2:$A$301,"&lt;"&amp;$A128+7))</f>
        <v/>
      </c>
      <c r="H128" s="14">
        <f>IF(OR(A128="",B128=""),"",COUNTIFS(Diario!$B$2:$B$301,$B128,Diario!$A$2:$A$301,"&gt;="&amp;$A128,Diario!$A$2:$A$301,"&lt;"&amp;$A128+7,Diario!$I$2:$I$301,"&gt;0"))</f>
        <v/>
      </c>
      <c r="I128" s="9">
        <f>IF(OR(G128="",G128=0),"",H128/G128)</f>
        <v/>
      </c>
      <c r="J128" s="13">
        <f>IF(OR(A128="",B128=""),"",SUMIFS(Diario!$K$2:$K$301,Diario!$B$2:$B$301,$B128,Diario!$A$2:$A$301,"&gt;="&amp;$A128,Diario!$A$2:$A$301,"&lt;"&amp;$A128+7))</f>
        <v/>
      </c>
      <c r="K128" s="8">
        <f>IF(OR(D128="",B128=""),"",IFERROR(IF(INDEX(Cuentas!$J$2:$J$21,MATCH(B128,Cuentas!$A$2:$A$21,0))="","",D128-INDEX(Cuentas!$J$2:$J$21,MATCH(B128,Cuentas!$A$2:$A$21,0))),""))</f>
        <v/>
      </c>
      <c r="L128" s="6" t="n"/>
    </row>
    <row r="129">
      <c r="A129" s="12" t="n"/>
      <c r="B129" s="6" t="n"/>
      <c r="C129" s="7" t="n"/>
      <c r="D129" s="7" t="n"/>
      <c r="E129" s="8">
        <f>IF(OR(C129="",D129=""),"",D129-C129)</f>
        <v/>
      </c>
      <c r="F129" s="9">
        <f>IF(OR(C129="",D129="",C129=0),"",E129/C129)</f>
        <v/>
      </c>
      <c r="G129" s="14">
        <f>IF(OR(A129="",B129=""),"",COUNTIFS(Diario!$B$2:$B$301,$B129,Diario!$A$2:$A$301,"&gt;="&amp;$A129,Diario!$A$2:$A$301,"&lt;"&amp;$A129+7))</f>
        <v/>
      </c>
      <c r="H129" s="14">
        <f>IF(OR(A129="",B129=""),"",COUNTIFS(Diario!$B$2:$B$301,$B129,Diario!$A$2:$A$301,"&gt;="&amp;$A129,Diario!$A$2:$A$301,"&lt;"&amp;$A129+7,Diario!$I$2:$I$301,"&gt;0"))</f>
        <v/>
      </c>
      <c r="I129" s="9">
        <f>IF(OR(G129="",G129=0),"",H129/G129)</f>
        <v/>
      </c>
      <c r="J129" s="13">
        <f>IF(OR(A129="",B129=""),"",SUMIFS(Diario!$K$2:$K$301,Diario!$B$2:$B$301,$B129,Diario!$A$2:$A$301,"&gt;="&amp;$A129,Diario!$A$2:$A$301,"&lt;"&amp;$A129+7))</f>
        <v/>
      </c>
      <c r="K129" s="8">
        <f>IF(OR(D129="",B129=""),"",IFERROR(IF(INDEX(Cuentas!$J$2:$J$21,MATCH(B129,Cuentas!$A$2:$A$21,0))="","",D129-INDEX(Cuentas!$J$2:$J$21,MATCH(B129,Cuentas!$A$2:$A$21,0))),""))</f>
        <v/>
      </c>
      <c r="L129" s="6" t="n"/>
    </row>
    <row r="130">
      <c r="A130" s="12" t="n"/>
      <c r="B130" s="6" t="n"/>
      <c r="C130" s="7" t="n"/>
      <c r="D130" s="7" t="n"/>
      <c r="E130" s="8">
        <f>IF(OR(C130="",D130=""),"",D130-C130)</f>
        <v/>
      </c>
      <c r="F130" s="9">
        <f>IF(OR(C130="",D130="",C130=0),"",E130/C130)</f>
        <v/>
      </c>
      <c r="G130" s="14">
        <f>IF(OR(A130="",B130=""),"",COUNTIFS(Diario!$B$2:$B$301,$B130,Diario!$A$2:$A$301,"&gt;="&amp;$A130,Diario!$A$2:$A$301,"&lt;"&amp;$A130+7))</f>
        <v/>
      </c>
      <c r="H130" s="14">
        <f>IF(OR(A130="",B130=""),"",COUNTIFS(Diario!$B$2:$B$301,$B130,Diario!$A$2:$A$301,"&gt;="&amp;$A130,Diario!$A$2:$A$301,"&lt;"&amp;$A130+7,Diario!$I$2:$I$301,"&gt;0"))</f>
        <v/>
      </c>
      <c r="I130" s="9">
        <f>IF(OR(G130="",G130=0),"",H130/G130)</f>
        <v/>
      </c>
      <c r="J130" s="13">
        <f>IF(OR(A130="",B130=""),"",SUMIFS(Diario!$K$2:$K$301,Diario!$B$2:$B$301,$B130,Diario!$A$2:$A$301,"&gt;="&amp;$A130,Diario!$A$2:$A$301,"&lt;"&amp;$A130+7))</f>
        <v/>
      </c>
      <c r="K130" s="8">
        <f>IF(OR(D130="",B130=""),"",IFERROR(IF(INDEX(Cuentas!$J$2:$J$21,MATCH(B130,Cuentas!$A$2:$A$21,0))="","",D130-INDEX(Cuentas!$J$2:$J$21,MATCH(B130,Cuentas!$A$2:$A$21,0))),""))</f>
        <v/>
      </c>
      <c r="L130" s="6" t="n"/>
    </row>
    <row r="131">
      <c r="A131" s="12" t="n"/>
      <c r="B131" s="6" t="n"/>
      <c r="C131" s="7" t="n"/>
      <c r="D131" s="7" t="n"/>
      <c r="E131" s="8">
        <f>IF(OR(C131="",D131=""),"",D131-C131)</f>
        <v/>
      </c>
      <c r="F131" s="9">
        <f>IF(OR(C131="",D131="",C131=0),"",E131/C131)</f>
        <v/>
      </c>
      <c r="G131" s="14">
        <f>IF(OR(A131="",B131=""),"",COUNTIFS(Diario!$B$2:$B$301,$B131,Diario!$A$2:$A$301,"&gt;="&amp;$A131,Diario!$A$2:$A$301,"&lt;"&amp;$A131+7))</f>
        <v/>
      </c>
      <c r="H131" s="14">
        <f>IF(OR(A131="",B131=""),"",COUNTIFS(Diario!$B$2:$B$301,$B131,Diario!$A$2:$A$301,"&gt;="&amp;$A131,Diario!$A$2:$A$301,"&lt;"&amp;$A131+7,Diario!$I$2:$I$301,"&gt;0"))</f>
        <v/>
      </c>
      <c r="I131" s="9">
        <f>IF(OR(G131="",G131=0),"",H131/G131)</f>
        <v/>
      </c>
      <c r="J131" s="13">
        <f>IF(OR(A131="",B131=""),"",SUMIFS(Diario!$K$2:$K$301,Diario!$B$2:$B$301,$B131,Diario!$A$2:$A$301,"&gt;="&amp;$A131,Diario!$A$2:$A$301,"&lt;"&amp;$A131+7))</f>
        <v/>
      </c>
      <c r="K131" s="8">
        <f>IF(OR(D131="",B131=""),"",IFERROR(IF(INDEX(Cuentas!$J$2:$J$21,MATCH(B131,Cuentas!$A$2:$A$21,0))="","",D131-INDEX(Cuentas!$J$2:$J$21,MATCH(B131,Cuentas!$A$2:$A$21,0))),""))</f>
        <v/>
      </c>
      <c r="L131" s="6" t="n"/>
    </row>
    <row r="132">
      <c r="A132" s="12" t="n"/>
      <c r="B132" s="6" t="n"/>
      <c r="C132" s="7" t="n"/>
      <c r="D132" s="7" t="n"/>
      <c r="E132" s="8">
        <f>IF(OR(C132="",D132=""),"",D132-C132)</f>
        <v/>
      </c>
      <c r="F132" s="9">
        <f>IF(OR(C132="",D132="",C132=0),"",E132/C132)</f>
        <v/>
      </c>
      <c r="G132" s="14">
        <f>IF(OR(A132="",B132=""),"",COUNTIFS(Diario!$B$2:$B$301,$B132,Diario!$A$2:$A$301,"&gt;="&amp;$A132,Diario!$A$2:$A$301,"&lt;"&amp;$A132+7))</f>
        <v/>
      </c>
      <c r="H132" s="14">
        <f>IF(OR(A132="",B132=""),"",COUNTIFS(Diario!$B$2:$B$301,$B132,Diario!$A$2:$A$301,"&gt;="&amp;$A132,Diario!$A$2:$A$301,"&lt;"&amp;$A132+7,Diario!$I$2:$I$301,"&gt;0"))</f>
        <v/>
      </c>
      <c r="I132" s="9">
        <f>IF(OR(G132="",G132=0),"",H132/G132)</f>
        <v/>
      </c>
      <c r="J132" s="13">
        <f>IF(OR(A132="",B132=""),"",SUMIFS(Diario!$K$2:$K$301,Diario!$B$2:$B$301,$B132,Diario!$A$2:$A$301,"&gt;="&amp;$A132,Diario!$A$2:$A$301,"&lt;"&amp;$A132+7))</f>
        <v/>
      </c>
      <c r="K132" s="8">
        <f>IF(OR(D132="",B132=""),"",IFERROR(IF(INDEX(Cuentas!$J$2:$J$21,MATCH(B132,Cuentas!$A$2:$A$21,0))="","",D132-INDEX(Cuentas!$J$2:$J$21,MATCH(B132,Cuentas!$A$2:$A$21,0))),""))</f>
        <v/>
      </c>
      <c r="L132" s="6" t="n"/>
    </row>
    <row r="133">
      <c r="A133" s="12" t="n"/>
      <c r="B133" s="6" t="n"/>
      <c r="C133" s="7" t="n"/>
      <c r="D133" s="7" t="n"/>
      <c r="E133" s="8">
        <f>IF(OR(C133="",D133=""),"",D133-C133)</f>
        <v/>
      </c>
      <c r="F133" s="9">
        <f>IF(OR(C133="",D133="",C133=0),"",E133/C133)</f>
        <v/>
      </c>
      <c r="G133" s="14">
        <f>IF(OR(A133="",B133=""),"",COUNTIFS(Diario!$B$2:$B$301,$B133,Diario!$A$2:$A$301,"&gt;="&amp;$A133,Diario!$A$2:$A$301,"&lt;"&amp;$A133+7))</f>
        <v/>
      </c>
      <c r="H133" s="14">
        <f>IF(OR(A133="",B133=""),"",COUNTIFS(Diario!$B$2:$B$301,$B133,Diario!$A$2:$A$301,"&gt;="&amp;$A133,Diario!$A$2:$A$301,"&lt;"&amp;$A133+7,Diario!$I$2:$I$301,"&gt;0"))</f>
        <v/>
      </c>
      <c r="I133" s="9">
        <f>IF(OR(G133="",G133=0),"",H133/G133)</f>
        <v/>
      </c>
      <c r="J133" s="13">
        <f>IF(OR(A133="",B133=""),"",SUMIFS(Diario!$K$2:$K$301,Diario!$B$2:$B$301,$B133,Diario!$A$2:$A$301,"&gt;="&amp;$A133,Diario!$A$2:$A$301,"&lt;"&amp;$A133+7))</f>
        <v/>
      </c>
      <c r="K133" s="8">
        <f>IF(OR(D133="",B133=""),"",IFERROR(IF(INDEX(Cuentas!$J$2:$J$21,MATCH(B133,Cuentas!$A$2:$A$21,0))="","",D133-INDEX(Cuentas!$J$2:$J$21,MATCH(B133,Cuentas!$A$2:$A$21,0))),""))</f>
        <v/>
      </c>
      <c r="L133" s="6" t="n"/>
    </row>
    <row r="134">
      <c r="A134" s="12" t="n"/>
      <c r="B134" s="6" t="n"/>
      <c r="C134" s="7" t="n"/>
      <c r="D134" s="7" t="n"/>
      <c r="E134" s="8">
        <f>IF(OR(C134="",D134=""),"",D134-C134)</f>
        <v/>
      </c>
      <c r="F134" s="9">
        <f>IF(OR(C134="",D134="",C134=0),"",E134/C134)</f>
        <v/>
      </c>
      <c r="G134" s="14">
        <f>IF(OR(A134="",B134=""),"",COUNTIFS(Diario!$B$2:$B$301,$B134,Diario!$A$2:$A$301,"&gt;="&amp;$A134,Diario!$A$2:$A$301,"&lt;"&amp;$A134+7))</f>
        <v/>
      </c>
      <c r="H134" s="14">
        <f>IF(OR(A134="",B134=""),"",COUNTIFS(Diario!$B$2:$B$301,$B134,Diario!$A$2:$A$301,"&gt;="&amp;$A134,Diario!$A$2:$A$301,"&lt;"&amp;$A134+7,Diario!$I$2:$I$301,"&gt;0"))</f>
        <v/>
      </c>
      <c r="I134" s="9">
        <f>IF(OR(G134="",G134=0),"",H134/G134)</f>
        <v/>
      </c>
      <c r="J134" s="13">
        <f>IF(OR(A134="",B134=""),"",SUMIFS(Diario!$K$2:$K$301,Diario!$B$2:$B$301,$B134,Diario!$A$2:$A$301,"&gt;="&amp;$A134,Diario!$A$2:$A$301,"&lt;"&amp;$A134+7))</f>
        <v/>
      </c>
      <c r="K134" s="8">
        <f>IF(OR(D134="",B134=""),"",IFERROR(IF(INDEX(Cuentas!$J$2:$J$21,MATCH(B134,Cuentas!$A$2:$A$21,0))="","",D134-INDEX(Cuentas!$J$2:$J$21,MATCH(B134,Cuentas!$A$2:$A$21,0))),""))</f>
        <v/>
      </c>
      <c r="L134" s="6" t="n"/>
    </row>
    <row r="135">
      <c r="A135" s="12" t="n"/>
      <c r="B135" s="6" t="n"/>
      <c r="C135" s="7" t="n"/>
      <c r="D135" s="7" t="n"/>
      <c r="E135" s="8">
        <f>IF(OR(C135="",D135=""),"",D135-C135)</f>
        <v/>
      </c>
      <c r="F135" s="9">
        <f>IF(OR(C135="",D135="",C135=0),"",E135/C135)</f>
        <v/>
      </c>
      <c r="G135" s="14">
        <f>IF(OR(A135="",B135=""),"",COUNTIFS(Diario!$B$2:$B$301,$B135,Diario!$A$2:$A$301,"&gt;="&amp;$A135,Diario!$A$2:$A$301,"&lt;"&amp;$A135+7))</f>
        <v/>
      </c>
      <c r="H135" s="14">
        <f>IF(OR(A135="",B135=""),"",COUNTIFS(Diario!$B$2:$B$301,$B135,Diario!$A$2:$A$301,"&gt;="&amp;$A135,Diario!$A$2:$A$301,"&lt;"&amp;$A135+7,Diario!$I$2:$I$301,"&gt;0"))</f>
        <v/>
      </c>
      <c r="I135" s="9">
        <f>IF(OR(G135="",G135=0),"",H135/G135)</f>
        <v/>
      </c>
      <c r="J135" s="13">
        <f>IF(OR(A135="",B135=""),"",SUMIFS(Diario!$K$2:$K$301,Diario!$B$2:$B$301,$B135,Diario!$A$2:$A$301,"&gt;="&amp;$A135,Diario!$A$2:$A$301,"&lt;"&amp;$A135+7))</f>
        <v/>
      </c>
      <c r="K135" s="8">
        <f>IF(OR(D135="",B135=""),"",IFERROR(IF(INDEX(Cuentas!$J$2:$J$21,MATCH(B135,Cuentas!$A$2:$A$21,0))="","",D135-INDEX(Cuentas!$J$2:$J$21,MATCH(B135,Cuentas!$A$2:$A$21,0))),""))</f>
        <v/>
      </c>
      <c r="L135" s="6" t="n"/>
    </row>
    <row r="136">
      <c r="A136" s="12" t="n"/>
      <c r="B136" s="6" t="n"/>
      <c r="C136" s="7" t="n"/>
      <c r="D136" s="7" t="n"/>
      <c r="E136" s="8">
        <f>IF(OR(C136="",D136=""),"",D136-C136)</f>
        <v/>
      </c>
      <c r="F136" s="9">
        <f>IF(OR(C136="",D136="",C136=0),"",E136/C136)</f>
        <v/>
      </c>
      <c r="G136" s="14">
        <f>IF(OR(A136="",B136=""),"",COUNTIFS(Diario!$B$2:$B$301,$B136,Diario!$A$2:$A$301,"&gt;="&amp;$A136,Diario!$A$2:$A$301,"&lt;"&amp;$A136+7))</f>
        <v/>
      </c>
      <c r="H136" s="14">
        <f>IF(OR(A136="",B136=""),"",COUNTIFS(Diario!$B$2:$B$301,$B136,Diario!$A$2:$A$301,"&gt;="&amp;$A136,Diario!$A$2:$A$301,"&lt;"&amp;$A136+7,Diario!$I$2:$I$301,"&gt;0"))</f>
        <v/>
      </c>
      <c r="I136" s="9">
        <f>IF(OR(G136="",G136=0),"",H136/G136)</f>
        <v/>
      </c>
      <c r="J136" s="13">
        <f>IF(OR(A136="",B136=""),"",SUMIFS(Diario!$K$2:$K$301,Diario!$B$2:$B$301,$B136,Diario!$A$2:$A$301,"&gt;="&amp;$A136,Diario!$A$2:$A$301,"&lt;"&amp;$A136+7))</f>
        <v/>
      </c>
      <c r="K136" s="8">
        <f>IF(OR(D136="",B136=""),"",IFERROR(IF(INDEX(Cuentas!$J$2:$J$21,MATCH(B136,Cuentas!$A$2:$A$21,0))="","",D136-INDEX(Cuentas!$J$2:$J$21,MATCH(B136,Cuentas!$A$2:$A$21,0))),""))</f>
        <v/>
      </c>
      <c r="L136" s="6" t="n"/>
    </row>
    <row r="137">
      <c r="A137" s="12" t="n"/>
      <c r="B137" s="6" t="n"/>
      <c r="C137" s="7" t="n"/>
      <c r="D137" s="7" t="n"/>
      <c r="E137" s="8">
        <f>IF(OR(C137="",D137=""),"",D137-C137)</f>
        <v/>
      </c>
      <c r="F137" s="9">
        <f>IF(OR(C137="",D137="",C137=0),"",E137/C137)</f>
        <v/>
      </c>
      <c r="G137" s="14">
        <f>IF(OR(A137="",B137=""),"",COUNTIFS(Diario!$B$2:$B$301,$B137,Diario!$A$2:$A$301,"&gt;="&amp;$A137,Diario!$A$2:$A$301,"&lt;"&amp;$A137+7))</f>
        <v/>
      </c>
      <c r="H137" s="14">
        <f>IF(OR(A137="",B137=""),"",COUNTIFS(Diario!$B$2:$B$301,$B137,Diario!$A$2:$A$301,"&gt;="&amp;$A137,Diario!$A$2:$A$301,"&lt;"&amp;$A137+7,Diario!$I$2:$I$301,"&gt;0"))</f>
        <v/>
      </c>
      <c r="I137" s="9">
        <f>IF(OR(G137="",G137=0),"",H137/G137)</f>
        <v/>
      </c>
      <c r="J137" s="13">
        <f>IF(OR(A137="",B137=""),"",SUMIFS(Diario!$K$2:$K$301,Diario!$B$2:$B$301,$B137,Diario!$A$2:$A$301,"&gt;="&amp;$A137,Diario!$A$2:$A$301,"&lt;"&amp;$A137+7))</f>
        <v/>
      </c>
      <c r="K137" s="8">
        <f>IF(OR(D137="",B137=""),"",IFERROR(IF(INDEX(Cuentas!$J$2:$J$21,MATCH(B137,Cuentas!$A$2:$A$21,0))="","",D137-INDEX(Cuentas!$J$2:$J$21,MATCH(B137,Cuentas!$A$2:$A$21,0))),""))</f>
        <v/>
      </c>
      <c r="L137" s="6" t="n"/>
    </row>
    <row r="138">
      <c r="A138" s="12" t="n"/>
      <c r="B138" s="6" t="n"/>
      <c r="C138" s="7" t="n"/>
      <c r="D138" s="7" t="n"/>
      <c r="E138" s="8">
        <f>IF(OR(C138="",D138=""),"",D138-C138)</f>
        <v/>
      </c>
      <c r="F138" s="9">
        <f>IF(OR(C138="",D138="",C138=0),"",E138/C138)</f>
        <v/>
      </c>
      <c r="G138" s="14">
        <f>IF(OR(A138="",B138=""),"",COUNTIFS(Diario!$B$2:$B$301,$B138,Diario!$A$2:$A$301,"&gt;="&amp;$A138,Diario!$A$2:$A$301,"&lt;"&amp;$A138+7))</f>
        <v/>
      </c>
      <c r="H138" s="14">
        <f>IF(OR(A138="",B138=""),"",COUNTIFS(Diario!$B$2:$B$301,$B138,Diario!$A$2:$A$301,"&gt;="&amp;$A138,Diario!$A$2:$A$301,"&lt;"&amp;$A138+7,Diario!$I$2:$I$301,"&gt;0"))</f>
        <v/>
      </c>
      <c r="I138" s="9">
        <f>IF(OR(G138="",G138=0),"",H138/G138)</f>
        <v/>
      </c>
      <c r="J138" s="13">
        <f>IF(OR(A138="",B138=""),"",SUMIFS(Diario!$K$2:$K$301,Diario!$B$2:$B$301,$B138,Diario!$A$2:$A$301,"&gt;="&amp;$A138,Diario!$A$2:$A$301,"&lt;"&amp;$A138+7))</f>
        <v/>
      </c>
      <c r="K138" s="8">
        <f>IF(OR(D138="",B138=""),"",IFERROR(IF(INDEX(Cuentas!$J$2:$J$21,MATCH(B138,Cuentas!$A$2:$A$21,0))="","",D138-INDEX(Cuentas!$J$2:$J$21,MATCH(B138,Cuentas!$A$2:$A$21,0))),""))</f>
        <v/>
      </c>
      <c r="L138" s="6" t="n"/>
    </row>
    <row r="139">
      <c r="A139" s="12" t="n"/>
      <c r="B139" s="6" t="n"/>
      <c r="C139" s="7" t="n"/>
      <c r="D139" s="7" t="n"/>
      <c r="E139" s="8">
        <f>IF(OR(C139="",D139=""),"",D139-C139)</f>
        <v/>
      </c>
      <c r="F139" s="9">
        <f>IF(OR(C139="",D139="",C139=0),"",E139/C139)</f>
        <v/>
      </c>
      <c r="G139" s="14">
        <f>IF(OR(A139="",B139=""),"",COUNTIFS(Diario!$B$2:$B$301,$B139,Diario!$A$2:$A$301,"&gt;="&amp;$A139,Diario!$A$2:$A$301,"&lt;"&amp;$A139+7))</f>
        <v/>
      </c>
      <c r="H139" s="14">
        <f>IF(OR(A139="",B139=""),"",COUNTIFS(Diario!$B$2:$B$301,$B139,Diario!$A$2:$A$301,"&gt;="&amp;$A139,Diario!$A$2:$A$301,"&lt;"&amp;$A139+7,Diario!$I$2:$I$301,"&gt;0"))</f>
        <v/>
      </c>
      <c r="I139" s="9">
        <f>IF(OR(G139="",G139=0),"",H139/G139)</f>
        <v/>
      </c>
      <c r="J139" s="13">
        <f>IF(OR(A139="",B139=""),"",SUMIFS(Diario!$K$2:$K$301,Diario!$B$2:$B$301,$B139,Diario!$A$2:$A$301,"&gt;="&amp;$A139,Diario!$A$2:$A$301,"&lt;"&amp;$A139+7))</f>
        <v/>
      </c>
      <c r="K139" s="8">
        <f>IF(OR(D139="",B139=""),"",IFERROR(IF(INDEX(Cuentas!$J$2:$J$21,MATCH(B139,Cuentas!$A$2:$A$21,0))="","",D139-INDEX(Cuentas!$J$2:$J$21,MATCH(B139,Cuentas!$A$2:$A$21,0))),""))</f>
        <v/>
      </c>
      <c r="L139" s="6" t="n"/>
    </row>
    <row r="140">
      <c r="A140" s="12" t="n"/>
      <c r="B140" s="6" t="n"/>
      <c r="C140" s="7" t="n"/>
      <c r="D140" s="7" t="n"/>
      <c r="E140" s="8">
        <f>IF(OR(C140="",D140=""),"",D140-C140)</f>
        <v/>
      </c>
      <c r="F140" s="9">
        <f>IF(OR(C140="",D140="",C140=0),"",E140/C140)</f>
        <v/>
      </c>
      <c r="G140" s="14">
        <f>IF(OR(A140="",B140=""),"",COUNTIFS(Diario!$B$2:$B$301,$B140,Diario!$A$2:$A$301,"&gt;="&amp;$A140,Diario!$A$2:$A$301,"&lt;"&amp;$A140+7))</f>
        <v/>
      </c>
      <c r="H140" s="14">
        <f>IF(OR(A140="",B140=""),"",COUNTIFS(Diario!$B$2:$B$301,$B140,Diario!$A$2:$A$301,"&gt;="&amp;$A140,Diario!$A$2:$A$301,"&lt;"&amp;$A140+7,Diario!$I$2:$I$301,"&gt;0"))</f>
        <v/>
      </c>
      <c r="I140" s="9">
        <f>IF(OR(G140="",G140=0),"",H140/G140)</f>
        <v/>
      </c>
      <c r="J140" s="13">
        <f>IF(OR(A140="",B140=""),"",SUMIFS(Diario!$K$2:$K$301,Diario!$B$2:$B$301,$B140,Diario!$A$2:$A$301,"&gt;="&amp;$A140,Diario!$A$2:$A$301,"&lt;"&amp;$A140+7))</f>
        <v/>
      </c>
      <c r="K140" s="8">
        <f>IF(OR(D140="",B140=""),"",IFERROR(IF(INDEX(Cuentas!$J$2:$J$21,MATCH(B140,Cuentas!$A$2:$A$21,0))="","",D140-INDEX(Cuentas!$J$2:$J$21,MATCH(B140,Cuentas!$A$2:$A$21,0))),""))</f>
        <v/>
      </c>
      <c r="L140" s="6" t="n"/>
    </row>
    <row r="141">
      <c r="A141" s="12" t="n"/>
      <c r="B141" s="6" t="n"/>
      <c r="C141" s="7" t="n"/>
      <c r="D141" s="7" t="n"/>
      <c r="E141" s="8">
        <f>IF(OR(C141="",D141=""),"",D141-C141)</f>
        <v/>
      </c>
      <c r="F141" s="9">
        <f>IF(OR(C141="",D141="",C141=0),"",E141/C141)</f>
        <v/>
      </c>
      <c r="G141" s="14">
        <f>IF(OR(A141="",B141=""),"",COUNTIFS(Diario!$B$2:$B$301,$B141,Diario!$A$2:$A$301,"&gt;="&amp;$A141,Diario!$A$2:$A$301,"&lt;"&amp;$A141+7))</f>
        <v/>
      </c>
      <c r="H141" s="14">
        <f>IF(OR(A141="",B141=""),"",COUNTIFS(Diario!$B$2:$B$301,$B141,Diario!$A$2:$A$301,"&gt;="&amp;$A141,Diario!$A$2:$A$301,"&lt;"&amp;$A141+7,Diario!$I$2:$I$301,"&gt;0"))</f>
        <v/>
      </c>
      <c r="I141" s="9">
        <f>IF(OR(G141="",G141=0),"",H141/G141)</f>
        <v/>
      </c>
      <c r="J141" s="13">
        <f>IF(OR(A141="",B141=""),"",SUMIFS(Diario!$K$2:$K$301,Diario!$B$2:$B$301,$B141,Diario!$A$2:$A$301,"&gt;="&amp;$A141,Diario!$A$2:$A$301,"&lt;"&amp;$A141+7))</f>
        <v/>
      </c>
      <c r="K141" s="8">
        <f>IF(OR(D141="",B141=""),"",IFERROR(IF(INDEX(Cuentas!$J$2:$J$21,MATCH(B141,Cuentas!$A$2:$A$21,0))="","",D141-INDEX(Cuentas!$J$2:$J$21,MATCH(B141,Cuentas!$A$2:$A$21,0))),""))</f>
        <v/>
      </c>
      <c r="L141" s="6" t="n"/>
    </row>
    <row r="142">
      <c r="A142" s="12" t="n"/>
      <c r="B142" s="6" t="n"/>
      <c r="C142" s="7" t="n"/>
      <c r="D142" s="7" t="n"/>
      <c r="E142" s="8">
        <f>IF(OR(C142="",D142=""),"",D142-C142)</f>
        <v/>
      </c>
      <c r="F142" s="9">
        <f>IF(OR(C142="",D142="",C142=0),"",E142/C142)</f>
        <v/>
      </c>
      <c r="G142" s="14">
        <f>IF(OR(A142="",B142=""),"",COUNTIFS(Diario!$B$2:$B$301,$B142,Diario!$A$2:$A$301,"&gt;="&amp;$A142,Diario!$A$2:$A$301,"&lt;"&amp;$A142+7))</f>
        <v/>
      </c>
      <c r="H142" s="14">
        <f>IF(OR(A142="",B142=""),"",COUNTIFS(Diario!$B$2:$B$301,$B142,Diario!$A$2:$A$301,"&gt;="&amp;$A142,Diario!$A$2:$A$301,"&lt;"&amp;$A142+7,Diario!$I$2:$I$301,"&gt;0"))</f>
        <v/>
      </c>
      <c r="I142" s="9">
        <f>IF(OR(G142="",G142=0),"",H142/G142)</f>
        <v/>
      </c>
      <c r="J142" s="13">
        <f>IF(OR(A142="",B142=""),"",SUMIFS(Diario!$K$2:$K$301,Diario!$B$2:$B$301,$B142,Diario!$A$2:$A$301,"&gt;="&amp;$A142,Diario!$A$2:$A$301,"&lt;"&amp;$A142+7))</f>
        <v/>
      </c>
      <c r="K142" s="8">
        <f>IF(OR(D142="",B142=""),"",IFERROR(IF(INDEX(Cuentas!$J$2:$J$21,MATCH(B142,Cuentas!$A$2:$A$21,0))="","",D142-INDEX(Cuentas!$J$2:$J$21,MATCH(B142,Cuentas!$A$2:$A$21,0))),""))</f>
        <v/>
      </c>
      <c r="L142" s="6" t="n"/>
    </row>
    <row r="143">
      <c r="A143" s="12" t="n"/>
      <c r="B143" s="6" t="n"/>
      <c r="C143" s="7" t="n"/>
      <c r="D143" s="7" t="n"/>
      <c r="E143" s="8">
        <f>IF(OR(C143="",D143=""),"",D143-C143)</f>
        <v/>
      </c>
      <c r="F143" s="9">
        <f>IF(OR(C143="",D143="",C143=0),"",E143/C143)</f>
        <v/>
      </c>
      <c r="G143" s="14">
        <f>IF(OR(A143="",B143=""),"",COUNTIFS(Diario!$B$2:$B$301,$B143,Diario!$A$2:$A$301,"&gt;="&amp;$A143,Diario!$A$2:$A$301,"&lt;"&amp;$A143+7))</f>
        <v/>
      </c>
      <c r="H143" s="14">
        <f>IF(OR(A143="",B143=""),"",COUNTIFS(Diario!$B$2:$B$301,$B143,Diario!$A$2:$A$301,"&gt;="&amp;$A143,Diario!$A$2:$A$301,"&lt;"&amp;$A143+7,Diario!$I$2:$I$301,"&gt;0"))</f>
        <v/>
      </c>
      <c r="I143" s="9">
        <f>IF(OR(G143="",G143=0),"",H143/G143)</f>
        <v/>
      </c>
      <c r="J143" s="13">
        <f>IF(OR(A143="",B143=""),"",SUMIFS(Diario!$K$2:$K$301,Diario!$B$2:$B$301,$B143,Diario!$A$2:$A$301,"&gt;="&amp;$A143,Diario!$A$2:$A$301,"&lt;"&amp;$A143+7))</f>
        <v/>
      </c>
      <c r="K143" s="8">
        <f>IF(OR(D143="",B143=""),"",IFERROR(IF(INDEX(Cuentas!$J$2:$J$21,MATCH(B143,Cuentas!$A$2:$A$21,0))="","",D143-INDEX(Cuentas!$J$2:$J$21,MATCH(B143,Cuentas!$A$2:$A$21,0))),""))</f>
        <v/>
      </c>
      <c r="L143" s="6" t="n"/>
    </row>
    <row r="144">
      <c r="A144" s="12" t="n"/>
      <c r="B144" s="6" t="n"/>
      <c r="C144" s="7" t="n"/>
      <c r="D144" s="7" t="n"/>
      <c r="E144" s="8">
        <f>IF(OR(C144="",D144=""),"",D144-C144)</f>
        <v/>
      </c>
      <c r="F144" s="9">
        <f>IF(OR(C144="",D144="",C144=0),"",E144/C144)</f>
        <v/>
      </c>
      <c r="G144" s="14">
        <f>IF(OR(A144="",B144=""),"",COUNTIFS(Diario!$B$2:$B$301,$B144,Diario!$A$2:$A$301,"&gt;="&amp;$A144,Diario!$A$2:$A$301,"&lt;"&amp;$A144+7))</f>
        <v/>
      </c>
      <c r="H144" s="14">
        <f>IF(OR(A144="",B144=""),"",COUNTIFS(Diario!$B$2:$B$301,$B144,Diario!$A$2:$A$301,"&gt;="&amp;$A144,Diario!$A$2:$A$301,"&lt;"&amp;$A144+7,Diario!$I$2:$I$301,"&gt;0"))</f>
        <v/>
      </c>
      <c r="I144" s="9">
        <f>IF(OR(G144="",G144=0),"",H144/G144)</f>
        <v/>
      </c>
      <c r="J144" s="13">
        <f>IF(OR(A144="",B144=""),"",SUMIFS(Diario!$K$2:$K$301,Diario!$B$2:$B$301,$B144,Diario!$A$2:$A$301,"&gt;="&amp;$A144,Diario!$A$2:$A$301,"&lt;"&amp;$A144+7))</f>
        <v/>
      </c>
      <c r="K144" s="8">
        <f>IF(OR(D144="",B144=""),"",IFERROR(IF(INDEX(Cuentas!$J$2:$J$21,MATCH(B144,Cuentas!$A$2:$A$21,0))="","",D144-INDEX(Cuentas!$J$2:$J$21,MATCH(B144,Cuentas!$A$2:$A$21,0))),""))</f>
        <v/>
      </c>
      <c r="L144" s="6" t="n"/>
    </row>
    <row r="145">
      <c r="A145" s="12" t="n"/>
      <c r="B145" s="6" t="n"/>
      <c r="C145" s="7" t="n"/>
      <c r="D145" s="7" t="n"/>
      <c r="E145" s="8">
        <f>IF(OR(C145="",D145=""),"",D145-C145)</f>
        <v/>
      </c>
      <c r="F145" s="9">
        <f>IF(OR(C145="",D145="",C145=0),"",E145/C145)</f>
        <v/>
      </c>
      <c r="G145" s="14">
        <f>IF(OR(A145="",B145=""),"",COUNTIFS(Diario!$B$2:$B$301,$B145,Diario!$A$2:$A$301,"&gt;="&amp;$A145,Diario!$A$2:$A$301,"&lt;"&amp;$A145+7))</f>
        <v/>
      </c>
      <c r="H145" s="14">
        <f>IF(OR(A145="",B145=""),"",COUNTIFS(Diario!$B$2:$B$301,$B145,Diario!$A$2:$A$301,"&gt;="&amp;$A145,Diario!$A$2:$A$301,"&lt;"&amp;$A145+7,Diario!$I$2:$I$301,"&gt;0"))</f>
        <v/>
      </c>
      <c r="I145" s="9">
        <f>IF(OR(G145="",G145=0),"",H145/G145)</f>
        <v/>
      </c>
      <c r="J145" s="13">
        <f>IF(OR(A145="",B145=""),"",SUMIFS(Diario!$K$2:$K$301,Diario!$B$2:$B$301,$B145,Diario!$A$2:$A$301,"&gt;="&amp;$A145,Diario!$A$2:$A$301,"&lt;"&amp;$A145+7))</f>
        <v/>
      </c>
      <c r="K145" s="8">
        <f>IF(OR(D145="",B145=""),"",IFERROR(IF(INDEX(Cuentas!$J$2:$J$21,MATCH(B145,Cuentas!$A$2:$A$21,0))="","",D145-INDEX(Cuentas!$J$2:$J$21,MATCH(B145,Cuentas!$A$2:$A$21,0))),""))</f>
        <v/>
      </c>
      <c r="L145" s="6" t="n"/>
    </row>
    <row r="146">
      <c r="A146" s="12" t="n"/>
      <c r="B146" s="6" t="n"/>
      <c r="C146" s="7" t="n"/>
      <c r="D146" s="7" t="n"/>
      <c r="E146" s="8">
        <f>IF(OR(C146="",D146=""),"",D146-C146)</f>
        <v/>
      </c>
      <c r="F146" s="9">
        <f>IF(OR(C146="",D146="",C146=0),"",E146/C146)</f>
        <v/>
      </c>
      <c r="G146" s="14">
        <f>IF(OR(A146="",B146=""),"",COUNTIFS(Diario!$B$2:$B$301,$B146,Diario!$A$2:$A$301,"&gt;="&amp;$A146,Diario!$A$2:$A$301,"&lt;"&amp;$A146+7))</f>
        <v/>
      </c>
      <c r="H146" s="14">
        <f>IF(OR(A146="",B146=""),"",COUNTIFS(Diario!$B$2:$B$301,$B146,Diario!$A$2:$A$301,"&gt;="&amp;$A146,Diario!$A$2:$A$301,"&lt;"&amp;$A146+7,Diario!$I$2:$I$301,"&gt;0"))</f>
        <v/>
      </c>
      <c r="I146" s="9">
        <f>IF(OR(G146="",G146=0),"",H146/G146)</f>
        <v/>
      </c>
      <c r="J146" s="13">
        <f>IF(OR(A146="",B146=""),"",SUMIFS(Diario!$K$2:$K$301,Diario!$B$2:$B$301,$B146,Diario!$A$2:$A$301,"&gt;="&amp;$A146,Diario!$A$2:$A$301,"&lt;"&amp;$A146+7))</f>
        <v/>
      </c>
      <c r="K146" s="8">
        <f>IF(OR(D146="",B146=""),"",IFERROR(IF(INDEX(Cuentas!$J$2:$J$21,MATCH(B146,Cuentas!$A$2:$A$21,0))="","",D146-INDEX(Cuentas!$J$2:$J$21,MATCH(B146,Cuentas!$A$2:$A$21,0))),""))</f>
        <v/>
      </c>
      <c r="L146" s="6" t="n"/>
    </row>
    <row r="147">
      <c r="A147" s="12" t="n"/>
      <c r="B147" s="6" t="n"/>
      <c r="C147" s="7" t="n"/>
      <c r="D147" s="7" t="n"/>
      <c r="E147" s="8">
        <f>IF(OR(C147="",D147=""),"",D147-C147)</f>
        <v/>
      </c>
      <c r="F147" s="9">
        <f>IF(OR(C147="",D147="",C147=0),"",E147/C147)</f>
        <v/>
      </c>
      <c r="G147" s="14">
        <f>IF(OR(A147="",B147=""),"",COUNTIFS(Diario!$B$2:$B$301,$B147,Diario!$A$2:$A$301,"&gt;="&amp;$A147,Diario!$A$2:$A$301,"&lt;"&amp;$A147+7))</f>
        <v/>
      </c>
      <c r="H147" s="14">
        <f>IF(OR(A147="",B147=""),"",COUNTIFS(Diario!$B$2:$B$301,$B147,Diario!$A$2:$A$301,"&gt;="&amp;$A147,Diario!$A$2:$A$301,"&lt;"&amp;$A147+7,Diario!$I$2:$I$301,"&gt;0"))</f>
        <v/>
      </c>
      <c r="I147" s="9">
        <f>IF(OR(G147="",G147=0),"",H147/G147)</f>
        <v/>
      </c>
      <c r="J147" s="13">
        <f>IF(OR(A147="",B147=""),"",SUMIFS(Diario!$K$2:$K$301,Diario!$B$2:$B$301,$B147,Diario!$A$2:$A$301,"&gt;="&amp;$A147,Diario!$A$2:$A$301,"&lt;"&amp;$A147+7))</f>
        <v/>
      </c>
      <c r="K147" s="8">
        <f>IF(OR(D147="",B147=""),"",IFERROR(IF(INDEX(Cuentas!$J$2:$J$21,MATCH(B147,Cuentas!$A$2:$A$21,0))="","",D147-INDEX(Cuentas!$J$2:$J$21,MATCH(B147,Cuentas!$A$2:$A$21,0))),""))</f>
        <v/>
      </c>
      <c r="L147" s="6" t="n"/>
    </row>
    <row r="148">
      <c r="A148" s="12" t="n"/>
      <c r="B148" s="6" t="n"/>
      <c r="C148" s="7" t="n"/>
      <c r="D148" s="7" t="n"/>
      <c r="E148" s="8">
        <f>IF(OR(C148="",D148=""),"",D148-C148)</f>
        <v/>
      </c>
      <c r="F148" s="9">
        <f>IF(OR(C148="",D148="",C148=0),"",E148/C148)</f>
        <v/>
      </c>
      <c r="G148" s="14">
        <f>IF(OR(A148="",B148=""),"",COUNTIFS(Diario!$B$2:$B$301,$B148,Diario!$A$2:$A$301,"&gt;="&amp;$A148,Diario!$A$2:$A$301,"&lt;"&amp;$A148+7))</f>
        <v/>
      </c>
      <c r="H148" s="14">
        <f>IF(OR(A148="",B148=""),"",COUNTIFS(Diario!$B$2:$B$301,$B148,Diario!$A$2:$A$301,"&gt;="&amp;$A148,Diario!$A$2:$A$301,"&lt;"&amp;$A148+7,Diario!$I$2:$I$301,"&gt;0"))</f>
        <v/>
      </c>
      <c r="I148" s="9">
        <f>IF(OR(G148="",G148=0),"",H148/G148)</f>
        <v/>
      </c>
      <c r="J148" s="13">
        <f>IF(OR(A148="",B148=""),"",SUMIFS(Diario!$K$2:$K$301,Diario!$B$2:$B$301,$B148,Diario!$A$2:$A$301,"&gt;="&amp;$A148,Diario!$A$2:$A$301,"&lt;"&amp;$A148+7))</f>
        <v/>
      </c>
      <c r="K148" s="8">
        <f>IF(OR(D148="",B148=""),"",IFERROR(IF(INDEX(Cuentas!$J$2:$J$21,MATCH(B148,Cuentas!$A$2:$A$21,0))="","",D148-INDEX(Cuentas!$J$2:$J$21,MATCH(B148,Cuentas!$A$2:$A$21,0))),""))</f>
        <v/>
      </c>
      <c r="L148" s="6" t="n"/>
    </row>
    <row r="149">
      <c r="A149" s="12" t="n"/>
      <c r="B149" s="6" t="n"/>
      <c r="C149" s="7" t="n"/>
      <c r="D149" s="7" t="n"/>
      <c r="E149" s="8">
        <f>IF(OR(C149="",D149=""),"",D149-C149)</f>
        <v/>
      </c>
      <c r="F149" s="9">
        <f>IF(OR(C149="",D149="",C149=0),"",E149/C149)</f>
        <v/>
      </c>
      <c r="G149" s="14">
        <f>IF(OR(A149="",B149=""),"",COUNTIFS(Diario!$B$2:$B$301,$B149,Diario!$A$2:$A$301,"&gt;="&amp;$A149,Diario!$A$2:$A$301,"&lt;"&amp;$A149+7))</f>
        <v/>
      </c>
      <c r="H149" s="14">
        <f>IF(OR(A149="",B149=""),"",COUNTIFS(Diario!$B$2:$B$301,$B149,Diario!$A$2:$A$301,"&gt;="&amp;$A149,Diario!$A$2:$A$301,"&lt;"&amp;$A149+7,Diario!$I$2:$I$301,"&gt;0"))</f>
        <v/>
      </c>
      <c r="I149" s="9">
        <f>IF(OR(G149="",G149=0),"",H149/G149)</f>
        <v/>
      </c>
      <c r="J149" s="13">
        <f>IF(OR(A149="",B149=""),"",SUMIFS(Diario!$K$2:$K$301,Diario!$B$2:$B$301,$B149,Diario!$A$2:$A$301,"&gt;="&amp;$A149,Diario!$A$2:$A$301,"&lt;"&amp;$A149+7))</f>
        <v/>
      </c>
      <c r="K149" s="8">
        <f>IF(OR(D149="",B149=""),"",IFERROR(IF(INDEX(Cuentas!$J$2:$J$21,MATCH(B149,Cuentas!$A$2:$A$21,0))="","",D149-INDEX(Cuentas!$J$2:$J$21,MATCH(B149,Cuentas!$A$2:$A$21,0))),""))</f>
        <v/>
      </c>
      <c r="L149" s="6" t="n"/>
    </row>
    <row r="150">
      <c r="A150" s="12" t="n"/>
      <c r="B150" s="6" t="n"/>
      <c r="C150" s="7" t="n"/>
      <c r="D150" s="7" t="n"/>
      <c r="E150" s="8">
        <f>IF(OR(C150="",D150=""),"",D150-C150)</f>
        <v/>
      </c>
      <c r="F150" s="9">
        <f>IF(OR(C150="",D150="",C150=0),"",E150/C150)</f>
        <v/>
      </c>
      <c r="G150" s="14">
        <f>IF(OR(A150="",B150=""),"",COUNTIFS(Diario!$B$2:$B$301,$B150,Diario!$A$2:$A$301,"&gt;="&amp;$A150,Diario!$A$2:$A$301,"&lt;"&amp;$A150+7))</f>
        <v/>
      </c>
      <c r="H150" s="14">
        <f>IF(OR(A150="",B150=""),"",COUNTIFS(Diario!$B$2:$B$301,$B150,Diario!$A$2:$A$301,"&gt;="&amp;$A150,Diario!$A$2:$A$301,"&lt;"&amp;$A150+7,Diario!$I$2:$I$301,"&gt;0"))</f>
        <v/>
      </c>
      <c r="I150" s="9">
        <f>IF(OR(G150="",G150=0),"",H150/G150)</f>
        <v/>
      </c>
      <c r="J150" s="13">
        <f>IF(OR(A150="",B150=""),"",SUMIFS(Diario!$K$2:$K$301,Diario!$B$2:$B$301,$B150,Diario!$A$2:$A$301,"&gt;="&amp;$A150,Diario!$A$2:$A$301,"&lt;"&amp;$A150+7))</f>
        <v/>
      </c>
      <c r="K150" s="8">
        <f>IF(OR(D150="",B150=""),"",IFERROR(IF(INDEX(Cuentas!$J$2:$J$21,MATCH(B150,Cuentas!$A$2:$A$21,0))="","",D150-INDEX(Cuentas!$J$2:$J$21,MATCH(B150,Cuentas!$A$2:$A$21,0))),""))</f>
        <v/>
      </c>
      <c r="L150" s="6" t="n"/>
    </row>
    <row r="151">
      <c r="A151" s="12" t="n"/>
      <c r="B151" s="6" t="n"/>
      <c r="C151" s="7" t="n"/>
      <c r="D151" s="7" t="n"/>
      <c r="E151" s="8">
        <f>IF(OR(C151="",D151=""),"",D151-C151)</f>
        <v/>
      </c>
      <c r="F151" s="9">
        <f>IF(OR(C151="",D151="",C151=0),"",E151/C151)</f>
        <v/>
      </c>
      <c r="G151" s="14">
        <f>IF(OR(A151="",B151=""),"",COUNTIFS(Diario!$B$2:$B$301,$B151,Diario!$A$2:$A$301,"&gt;="&amp;$A151,Diario!$A$2:$A$301,"&lt;"&amp;$A151+7))</f>
        <v/>
      </c>
      <c r="H151" s="14">
        <f>IF(OR(A151="",B151=""),"",COUNTIFS(Diario!$B$2:$B$301,$B151,Diario!$A$2:$A$301,"&gt;="&amp;$A151,Diario!$A$2:$A$301,"&lt;"&amp;$A151+7,Diario!$I$2:$I$301,"&gt;0"))</f>
        <v/>
      </c>
      <c r="I151" s="9">
        <f>IF(OR(G151="",G151=0),"",H151/G151)</f>
        <v/>
      </c>
      <c r="J151" s="13">
        <f>IF(OR(A151="",B151=""),"",SUMIFS(Diario!$K$2:$K$301,Diario!$B$2:$B$301,$B151,Diario!$A$2:$A$301,"&gt;="&amp;$A151,Diario!$A$2:$A$301,"&lt;"&amp;$A151+7))</f>
        <v/>
      </c>
      <c r="K151" s="8">
        <f>IF(OR(D151="",B151=""),"",IFERROR(IF(INDEX(Cuentas!$J$2:$J$21,MATCH(B151,Cuentas!$A$2:$A$21,0))="","",D151-INDEX(Cuentas!$J$2:$J$21,MATCH(B151,Cuentas!$A$2:$A$21,0))),""))</f>
        <v/>
      </c>
      <c r="L151" s="6" t="n"/>
    </row>
  </sheetData>
  <dataValidations count="1">
    <dataValidation sqref="B2:B151" showDropDown="0" showInputMessage="0" showErrorMessage="0" allowBlank="1" type="list">
      <formula1>=Cuentas!$A$2:$A$21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1" customWidth="1" min="4" max="4"/>
    <col width="14" customWidth="1" min="5" max="5"/>
    <col width="40" customWidth="1" min="6" max="6"/>
    <col width="22" customWidth="1" min="8" max="8"/>
    <col width="16" customWidth="1" min="9" max="9"/>
  </cols>
  <sheetData>
    <row r="1" ht="32" customHeight="1">
      <c r="A1" s="5" t="inlineStr">
        <is>
          <t>Fecha</t>
        </is>
      </c>
      <c r="B1" s="5" t="inlineStr">
        <is>
          <t>Concepto</t>
        </is>
      </c>
      <c r="C1" s="5" t="inlineStr">
        <is>
          <t>Firma / proveedor</t>
        </is>
      </c>
      <c r="D1" s="5" t="inlineStr">
        <is>
          <t>Tipo</t>
        </is>
      </c>
      <c r="E1" s="5" t="inlineStr">
        <is>
          <t>Importe ($)</t>
        </is>
      </c>
      <c r="F1" s="5" t="inlineStr">
        <is>
          <t>Notas</t>
        </is>
      </c>
    </row>
    <row r="2">
      <c r="A2" s="12" t="n">
        <v>46296</v>
      </c>
      <c r="B2" s="6" t="inlineStr">
        <is>
          <t>Challenge 2 fases 100k</t>
        </is>
      </c>
      <c r="C2" s="6" t="inlineStr">
        <is>
          <t>Noctorial</t>
        </is>
      </c>
      <c r="D2" s="6" t="inlineStr">
        <is>
          <t>Gasto</t>
        </is>
      </c>
      <c r="E2" s="7" t="n">
        <v>0</v>
      </c>
      <c r="F2" s="6" t="inlineStr">
        <is>
          <t>Ejemplo: pon el importe real</t>
        </is>
      </c>
      <c r="H2" s="15" t="inlineStr">
        <is>
          <t>Resumen</t>
        </is>
      </c>
    </row>
    <row r="3">
      <c r="A3" s="12" t="n"/>
      <c r="B3" s="6" t="n"/>
      <c r="C3" s="6" t="n"/>
      <c r="D3" s="6" t="n"/>
      <c r="E3" s="7" t="n"/>
      <c r="F3" s="6" t="n"/>
      <c r="H3" s="15" t="inlineStr">
        <is>
          <t>Total gastos</t>
        </is>
      </c>
      <c r="I3" s="16">
        <f>SUMIF($D$2:$D$201,"Gasto",$E$2:$E$201)</f>
        <v/>
      </c>
    </row>
    <row r="4">
      <c r="A4" s="12" t="n"/>
      <c r="B4" s="6" t="n"/>
      <c r="C4" s="6" t="n"/>
      <c r="D4" s="6" t="n"/>
      <c r="E4" s="7" t="n"/>
      <c r="F4" s="6" t="n"/>
      <c r="H4" s="15" t="inlineStr">
        <is>
          <t>Total ingresos</t>
        </is>
      </c>
      <c r="I4" s="16">
        <f>SUMIF($D$2:$D$201,"Ingreso",$E$2:$E$201)</f>
        <v/>
      </c>
    </row>
    <row r="5">
      <c r="A5" s="12" t="n"/>
      <c r="B5" s="6" t="n"/>
      <c r="C5" s="6" t="n"/>
      <c r="D5" s="6" t="n"/>
      <c r="E5" s="7" t="n"/>
      <c r="F5" s="6" t="n"/>
      <c r="H5" s="15" t="inlineStr">
        <is>
          <t>Neto</t>
        </is>
      </c>
      <c r="I5" s="17">
        <f>I4-I3</f>
        <v/>
      </c>
    </row>
    <row r="6">
      <c r="A6" s="12" t="n"/>
      <c r="B6" s="6" t="n"/>
      <c r="C6" s="6" t="n"/>
      <c r="D6" s="6" t="n"/>
      <c r="E6" s="7" t="n"/>
      <c r="F6" s="6" t="n"/>
    </row>
    <row r="7">
      <c r="A7" s="12" t="n"/>
      <c r="B7" s="6" t="n"/>
      <c r="C7" s="6" t="n"/>
      <c r="D7" s="6" t="n"/>
      <c r="E7" s="7" t="n"/>
      <c r="F7" s="6" t="n"/>
    </row>
    <row r="8">
      <c r="A8" s="12" t="n"/>
      <c r="B8" s="6" t="n"/>
      <c r="C8" s="6" t="n"/>
      <c r="D8" s="6" t="n"/>
      <c r="E8" s="7" t="n"/>
      <c r="F8" s="6" t="n"/>
    </row>
    <row r="9">
      <c r="A9" s="12" t="n"/>
      <c r="B9" s="6" t="n"/>
      <c r="C9" s="6" t="n"/>
      <c r="D9" s="6" t="n"/>
      <c r="E9" s="7" t="n"/>
      <c r="F9" s="6" t="n"/>
    </row>
    <row r="10">
      <c r="A10" s="12" t="n"/>
      <c r="B10" s="6" t="n"/>
      <c r="C10" s="6" t="n"/>
      <c r="D10" s="6" t="n"/>
      <c r="E10" s="7" t="n"/>
      <c r="F10" s="6" t="n"/>
    </row>
    <row r="11">
      <c r="A11" s="12" t="n"/>
      <c r="B11" s="6" t="n"/>
      <c r="C11" s="6" t="n"/>
      <c r="D11" s="6" t="n"/>
      <c r="E11" s="7" t="n"/>
      <c r="F11" s="6" t="n"/>
    </row>
    <row r="12">
      <c r="A12" s="12" t="n"/>
      <c r="B12" s="6" t="n"/>
      <c r="C12" s="6" t="n"/>
      <c r="D12" s="6" t="n"/>
      <c r="E12" s="7" t="n"/>
      <c r="F12" s="6" t="n"/>
    </row>
    <row r="13">
      <c r="A13" s="12" t="n"/>
      <c r="B13" s="6" t="n"/>
      <c r="C13" s="6" t="n"/>
      <c r="D13" s="6" t="n"/>
      <c r="E13" s="7" t="n"/>
      <c r="F13" s="6" t="n"/>
    </row>
    <row r="14">
      <c r="A14" s="12" t="n"/>
      <c r="B14" s="6" t="n"/>
      <c r="C14" s="6" t="n"/>
      <c r="D14" s="6" t="n"/>
      <c r="E14" s="7" t="n"/>
      <c r="F14" s="6" t="n"/>
    </row>
    <row r="15">
      <c r="A15" s="12" t="n"/>
      <c r="B15" s="6" t="n"/>
      <c r="C15" s="6" t="n"/>
      <c r="D15" s="6" t="n"/>
      <c r="E15" s="7" t="n"/>
      <c r="F15" s="6" t="n"/>
    </row>
    <row r="16">
      <c r="A16" s="12" t="n"/>
      <c r="B16" s="6" t="n"/>
      <c r="C16" s="6" t="n"/>
      <c r="D16" s="6" t="n"/>
      <c r="E16" s="7" t="n"/>
      <c r="F16" s="6" t="n"/>
    </row>
    <row r="17">
      <c r="A17" s="12" t="n"/>
      <c r="B17" s="6" t="n"/>
      <c r="C17" s="6" t="n"/>
      <c r="D17" s="6" t="n"/>
      <c r="E17" s="7" t="n"/>
      <c r="F17" s="6" t="n"/>
    </row>
    <row r="18">
      <c r="A18" s="12" t="n"/>
      <c r="B18" s="6" t="n"/>
      <c r="C18" s="6" t="n"/>
      <c r="D18" s="6" t="n"/>
      <c r="E18" s="7" t="n"/>
      <c r="F18" s="6" t="n"/>
    </row>
    <row r="19">
      <c r="A19" s="12" t="n"/>
      <c r="B19" s="6" t="n"/>
      <c r="C19" s="6" t="n"/>
      <c r="D19" s="6" t="n"/>
      <c r="E19" s="7" t="n"/>
      <c r="F19" s="6" t="n"/>
    </row>
    <row r="20">
      <c r="A20" s="12" t="n"/>
      <c r="B20" s="6" t="n"/>
      <c r="C20" s="6" t="n"/>
      <c r="D20" s="6" t="n"/>
      <c r="E20" s="7" t="n"/>
      <c r="F20" s="6" t="n"/>
    </row>
    <row r="21">
      <c r="A21" s="12" t="n"/>
      <c r="B21" s="6" t="n"/>
      <c r="C21" s="6" t="n"/>
      <c r="D21" s="6" t="n"/>
      <c r="E21" s="7" t="n"/>
      <c r="F21" s="6" t="n"/>
    </row>
    <row r="22">
      <c r="A22" s="12" t="n"/>
      <c r="B22" s="6" t="n"/>
      <c r="C22" s="6" t="n"/>
      <c r="D22" s="6" t="n"/>
      <c r="E22" s="7" t="n"/>
      <c r="F22" s="6" t="n"/>
    </row>
    <row r="23">
      <c r="A23" s="12" t="n"/>
      <c r="B23" s="6" t="n"/>
      <c r="C23" s="6" t="n"/>
      <c r="D23" s="6" t="n"/>
      <c r="E23" s="7" t="n"/>
      <c r="F23" s="6" t="n"/>
    </row>
    <row r="24">
      <c r="A24" s="12" t="n"/>
      <c r="B24" s="6" t="n"/>
      <c r="C24" s="6" t="n"/>
      <c r="D24" s="6" t="n"/>
      <c r="E24" s="7" t="n"/>
      <c r="F24" s="6" t="n"/>
    </row>
    <row r="25">
      <c r="A25" s="12" t="n"/>
      <c r="B25" s="6" t="n"/>
      <c r="C25" s="6" t="n"/>
      <c r="D25" s="6" t="n"/>
      <c r="E25" s="7" t="n"/>
      <c r="F25" s="6" t="n"/>
    </row>
    <row r="26">
      <c r="A26" s="12" t="n"/>
      <c r="B26" s="6" t="n"/>
      <c r="C26" s="6" t="n"/>
      <c r="D26" s="6" t="n"/>
      <c r="E26" s="7" t="n"/>
      <c r="F26" s="6" t="n"/>
    </row>
    <row r="27">
      <c r="A27" s="12" t="n"/>
      <c r="B27" s="6" t="n"/>
      <c r="C27" s="6" t="n"/>
      <c r="D27" s="6" t="n"/>
      <c r="E27" s="7" t="n"/>
      <c r="F27" s="6" t="n"/>
    </row>
    <row r="28">
      <c r="A28" s="12" t="n"/>
      <c r="B28" s="6" t="n"/>
      <c r="C28" s="6" t="n"/>
      <c r="D28" s="6" t="n"/>
      <c r="E28" s="7" t="n"/>
      <c r="F28" s="6" t="n"/>
    </row>
    <row r="29">
      <c r="A29" s="12" t="n"/>
      <c r="B29" s="6" t="n"/>
      <c r="C29" s="6" t="n"/>
      <c r="D29" s="6" t="n"/>
      <c r="E29" s="7" t="n"/>
      <c r="F29" s="6" t="n"/>
    </row>
    <row r="30">
      <c r="A30" s="12" t="n"/>
      <c r="B30" s="6" t="n"/>
      <c r="C30" s="6" t="n"/>
      <c r="D30" s="6" t="n"/>
      <c r="E30" s="7" t="n"/>
      <c r="F30" s="6" t="n"/>
    </row>
    <row r="31">
      <c r="A31" s="12" t="n"/>
      <c r="B31" s="6" t="n"/>
      <c r="C31" s="6" t="n"/>
      <c r="D31" s="6" t="n"/>
      <c r="E31" s="7" t="n"/>
      <c r="F31" s="6" t="n"/>
    </row>
    <row r="32">
      <c r="A32" s="12" t="n"/>
      <c r="B32" s="6" t="n"/>
      <c r="C32" s="6" t="n"/>
      <c r="D32" s="6" t="n"/>
      <c r="E32" s="7" t="n"/>
      <c r="F32" s="6" t="n"/>
    </row>
    <row r="33">
      <c r="A33" s="12" t="n"/>
      <c r="B33" s="6" t="n"/>
      <c r="C33" s="6" t="n"/>
      <c r="D33" s="6" t="n"/>
      <c r="E33" s="7" t="n"/>
      <c r="F33" s="6" t="n"/>
    </row>
    <row r="34">
      <c r="A34" s="12" t="n"/>
      <c r="B34" s="6" t="n"/>
      <c r="C34" s="6" t="n"/>
      <c r="D34" s="6" t="n"/>
      <c r="E34" s="7" t="n"/>
      <c r="F34" s="6" t="n"/>
    </row>
    <row r="35">
      <c r="A35" s="12" t="n"/>
      <c r="B35" s="6" t="n"/>
      <c r="C35" s="6" t="n"/>
      <c r="D35" s="6" t="n"/>
      <c r="E35" s="7" t="n"/>
      <c r="F35" s="6" t="n"/>
    </row>
    <row r="36">
      <c r="A36" s="12" t="n"/>
      <c r="B36" s="6" t="n"/>
      <c r="C36" s="6" t="n"/>
      <c r="D36" s="6" t="n"/>
      <c r="E36" s="7" t="n"/>
      <c r="F36" s="6" t="n"/>
    </row>
    <row r="37">
      <c r="A37" s="12" t="n"/>
      <c r="B37" s="6" t="n"/>
      <c r="C37" s="6" t="n"/>
      <c r="D37" s="6" t="n"/>
      <c r="E37" s="7" t="n"/>
      <c r="F37" s="6" t="n"/>
    </row>
    <row r="38">
      <c r="A38" s="12" t="n"/>
      <c r="B38" s="6" t="n"/>
      <c r="C38" s="6" t="n"/>
      <c r="D38" s="6" t="n"/>
      <c r="E38" s="7" t="n"/>
      <c r="F38" s="6" t="n"/>
    </row>
    <row r="39">
      <c r="A39" s="12" t="n"/>
      <c r="B39" s="6" t="n"/>
      <c r="C39" s="6" t="n"/>
      <c r="D39" s="6" t="n"/>
      <c r="E39" s="7" t="n"/>
      <c r="F39" s="6" t="n"/>
    </row>
    <row r="40">
      <c r="A40" s="12" t="n"/>
      <c r="B40" s="6" t="n"/>
      <c r="C40" s="6" t="n"/>
      <c r="D40" s="6" t="n"/>
      <c r="E40" s="7" t="n"/>
      <c r="F40" s="6" t="n"/>
    </row>
    <row r="41">
      <c r="A41" s="12" t="n"/>
      <c r="B41" s="6" t="n"/>
      <c r="C41" s="6" t="n"/>
      <c r="D41" s="6" t="n"/>
      <c r="E41" s="7" t="n"/>
      <c r="F41" s="6" t="n"/>
    </row>
    <row r="42">
      <c r="A42" s="12" t="n"/>
      <c r="B42" s="6" t="n"/>
      <c r="C42" s="6" t="n"/>
      <c r="D42" s="6" t="n"/>
      <c r="E42" s="7" t="n"/>
      <c r="F42" s="6" t="n"/>
    </row>
    <row r="43">
      <c r="A43" s="12" t="n"/>
      <c r="B43" s="6" t="n"/>
      <c r="C43" s="6" t="n"/>
      <c r="D43" s="6" t="n"/>
      <c r="E43" s="7" t="n"/>
      <c r="F43" s="6" t="n"/>
    </row>
    <row r="44">
      <c r="A44" s="12" t="n"/>
      <c r="B44" s="6" t="n"/>
      <c r="C44" s="6" t="n"/>
      <c r="D44" s="6" t="n"/>
      <c r="E44" s="7" t="n"/>
      <c r="F44" s="6" t="n"/>
    </row>
    <row r="45">
      <c r="A45" s="12" t="n"/>
      <c r="B45" s="6" t="n"/>
      <c r="C45" s="6" t="n"/>
      <c r="D45" s="6" t="n"/>
      <c r="E45" s="7" t="n"/>
      <c r="F45" s="6" t="n"/>
    </row>
    <row r="46">
      <c r="A46" s="12" t="n"/>
      <c r="B46" s="6" t="n"/>
      <c r="C46" s="6" t="n"/>
      <c r="D46" s="6" t="n"/>
      <c r="E46" s="7" t="n"/>
      <c r="F46" s="6" t="n"/>
    </row>
    <row r="47">
      <c r="A47" s="12" t="n"/>
      <c r="B47" s="6" t="n"/>
      <c r="C47" s="6" t="n"/>
      <c r="D47" s="6" t="n"/>
      <c r="E47" s="7" t="n"/>
      <c r="F47" s="6" t="n"/>
    </row>
    <row r="48">
      <c r="A48" s="12" t="n"/>
      <c r="B48" s="6" t="n"/>
      <c r="C48" s="6" t="n"/>
      <c r="D48" s="6" t="n"/>
      <c r="E48" s="7" t="n"/>
      <c r="F48" s="6" t="n"/>
    </row>
    <row r="49">
      <c r="A49" s="12" t="n"/>
      <c r="B49" s="6" t="n"/>
      <c r="C49" s="6" t="n"/>
      <c r="D49" s="6" t="n"/>
      <c r="E49" s="7" t="n"/>
      <c r="F49" s="6" t="n"/>
    </row>
    <row r="50">
      <c r="A50" s="12" t="n"/>
      <c r="B50" s="6" t="n"/>
      <c r="C50" s="6" t="n"/>
      <c r="D50" s="6" t="n"/>
      <c r="E50" s="7" t="n"/>
      <c r="F50" s="6" t="n"/>
    </row>
    <row r="51">
      <c r="A51" s="12" t="n"/>
      <c r="B51" s="6" t="n"/>
      <c r="C51" s="6" t="n"/>
      <c r="D51" s="6" t="n"/>
      <c r="E51" s="7" t="n"/>
      <c r="F51" s="6" t="n"/>
    </row>
    <row r="52">
      <c r="A52" s="12" t="n"/>
      <c r="B52" s="6" t="n"/>
      <c r="C52" s="6" t="n"/>
      <c r="D52" s="6" t="n"/>
      <c r="E52" s="7" t="n"/>
      <c r="F52" s="6" t="n"/>
    </row>
    <row r="53">
      <c r="A53" s="12" t="n"/>
      <c r="B53" s="6" t="n"/>
      <c r="C53" s="6" t="n"/>
      <c r="D53" s="6" t="n"/>
      <c r="E53" s="7" t="n"/>
      <c r="F53" s="6" t="n"/>
    </row>
    <row r="54">
      <c r="A54" s="12" t="n"/>
      <c r="B54" s="6" t="n"/>
      <c r="C54" s="6" t="n"/>
      <c r="D54" s="6" t="n"/>
      <c r="E54" s="7" t="n"/>
      <c r="F54" s="6" t="n"/>
    </row>
    <row r="55">
      <c r="A55" s="12" t="n"/>
      <c r="B55" s="6" t="n"/>
      <c r="C55" s="6" t="n"/>
      <c r="D55" s="6" t="n"/>
      <c r="E55" s="7" t="n"/>
      <c r="F55" s="6" t="n"/>
    </row>
    <row r="56">
      <c r="A56" s="12" t="n"/>
      <c r="B56" s="6" t="n"/>
      <c r="C56" s="6" t="n"/>
      <c r="D56" s="6" t="n"/>
      <c r="E56" s="7" t="n"/>
      <c r="F56" s="6" t="n"/>
    </row>
    <row r="57">
      <c r="A57" s="12" t="n"/>
      <c r="B57" s="6" t="n"/>
      <c r="C57" s="6" t="n"/>
      <c r="D57" s="6" t="n"/>
      <c r="E57" s="7" t="n"/>
      <c r="F57" s="6" t="n"/>
    </row>
    <row r="58">
      <c r="A58" s="12" t="n"/>
      <c r="B58" s="6" t="n"/>
      <c r="C58" s="6" t="n"/>
      <c r="D58" s="6" t="n"/>
      <c r="E58" s="7" t="n"/>
      <c r="F58" s="6" t="n"/>
    </row>
    <row r="59">
      <c r="A59" s="12" t="n"/>
      <c r="B59" s="6" t="n"/>
      <c r="C59" s="6" t="n"/>
      <c r="D59" s="6" t="n"/>
      <c r="E59" s="7" t="n"/>
      <c r="F59" s="6" t="n"/>
    </row>
    <row r="60">
      <c r="A60" s="12" t="n"/>
      <c r="B60" s="6" t="n"/>
      <c r="C60" s="6" t="n"/>
      <c r="D60" s="6" t="n"/>
      <c r="E60" s="7" t="n"/>
      <c r="F60" s="6" t="n"/>
    </row>
    <row r="61">
      <c r="A61" s="12" t="n"/>
      <c r="B61" s="6" t="n"/>
      <c r="C61" s="6" t="n"/>
      <c r="D61" s="6" t="n"/>
      <c r="E61" s="7" t="n"/>
      <c r="F61" s="6" t="n"/>
    </row>
    <row r="62">
      <c r="A62" s="12" t="n"/>
      <c r="B62" s="6" t="n"/>
      <c r="C62" s="6" t="n"/>
      <c r="D62" s="6" t="n"/>
      <c r="E62" s="7" t="n"/>
      <c r="F62" s="6" t="n"/>
    </row>
    <row r="63">
      <c r="A63" s="12" t="n"/>
      <c r="B63" s="6" t="n"/>
      <c r="C63" s="6" t="n"/>
      <c r="D63" s="6" t="n"/>
      <c r="E63" s="7" t="n"/>
      <c r="F63" s="6" t="n"/>
    </row>
    <row r="64">
      <c r="A64" s="12" t="n"/>
      <c r="B64" s="6" t="n"/>
      <c r="C64" s="6" t="n"/>
      <c r="D64" s="6" t="n"/>
      <c r="E64" s="7" t="n"/>
      <c r="F64" s="6" t="n"/>
    </row>
    <row r="65">
      <c r="A65" s="12" t="n"/>
      <c r="B65" s="6" t="n"/>
      <c r="C65" s="6" t="n"/>
      <c r="D65" s="6" t="n"/>
      <c r="E65" s="7" t="n"/>
      <c r="F65" s="6" t="n"/>
    </row>
    <row r="66">
      <c r="A66" s="12" t="n"/>
      <c r="B66" s="6" t="n"/>
      <c r="C66" s="6" t="n"/>
      <c r="D66" s="6" t="n"/>
      <c r="E66" s="7" t="n"/>
      <c r="F66" s="6" t="n"/>
    </row>
    <row r="67">
      <c r="A67" s="12" t="n"/>
      <c r="B67" s="6" t="n"/>
      <c r="C67" s="6" t="n"/>
      <c r="D67" s="6" t="n"/>
      <c r="E67" s="7" t="n"/>
      <c r="F67" s="6" t="n"/>
    </row>
    <row r="68">
      <c r="A68" s="12" t="n"/>
      <c r="B68" s="6" t="n"/>
      <c r="C68" s="6" t="n"/>
      <c r="D68" s="6" t="n"/>
      <c r="E68" s="7" t="n"/>
      <c r="F68" s="6" t="n"/>
    </row>
    <row r="69">
      <c r="A69" s="12" t="n"/>
      <c r="B69" s="6" t="n"/>
      <c r="C69" s="6" t="n"/>
      <c r="D69" s="6" t="n"/>
      <c r="E69" s="7" t="n"/>
      <c r="F69" s="6" t="n"/>
    </row>
    <row r="70">
      <c r="A70" s="12" t="n"/>
      <c r="B70" s="6" t="n"/>
      <c r="C70" s="6" t="n"/>
      <c r="D70" s="6" t="n"/>
      <c r="E70" s="7" t="n"/>
      <c r="F70" s="6" t="n"/>
    </row>
    <row r="71">
      <c r="A71" s="12" t="n"/>
      <c r="B71" s="6" t="n"/>
      <c r="C71" s="6" t="n"/>
      <c r="D71" s="6" t="n"/>
      <c r="E71" s="7" t="n"/>
      <c r="F71" s="6" t="n"/>
    </row>
    <row r="72">
      <c r="A72" s="12" t="n"/>
      <c r="B72" s="6" t="n"/>
      <c r="C72" s="6" t="n"/>
      <c r="D72" s="6" t="n"/>
      <c r="E72" s="7" t="n"/>
      <c r="F72" s="6" t="n"/>
    </row>
    <row r="73">
      <c r="A73" s="12" t="n"/>
      <c r="B73" s="6" t="n"/>
      <c r="C73" s="6" t="n"/>
      <c r="D73" s="6" t="n"/>
      <c r="E73" s="7" t="n"/>
      <c r="F73" s="6" t="n"/>
    </row>
    <row r="74">
      <c r="A74" s="12" t="n"/>
      <c r="B74" s="6" t="n"/>
      <c r="C74" s="6" t="n"/>
      <c r="D74" s="6" t="n"/>
      <c r="E74" s="7" t="n"/>
      <c r="F74" s="6" t="n"/>
    </row>
    <row r="75">
      <c r="A75" s="12" t="n"/>
      <c r="B75" s="6" t="n"/>
      <c r="C75" s="6" t="n"/>
      <c r="D75" s="6" t="n"/>
      <c r="E75" s="7" t="n"/>
      <c r="F75" s="6" t="n"/>
    </row>
    <row r="76">
      <c r="A76" s="12" t="n"/>
      <c r="B76" s="6" t="n"/>
      <c r="C76" s="6" t="n"/>
      <c r="D76" s="6" t="n"/>
      <c r="E76" s="7" t="n"/>
      <c r="F76" s="6" t="n"/>
    </row>
    <row r="77">
      <c r="A77" s="12" t="n"/>
      <c r="B77" s="6" t="n"/>
      <c r="C77" s="6" t="n"/>
      <c r="D77" s="6" t="n"/>
      <c r="E77" s="7" t="n"/>
      <c r="F77" s="6" t="n"/>
    </row>
    <row r="78">
      <c r="A78" s="12" t="n"/>
      <c r="B78" s="6" t="n"/>
      <c r="C78" s="6" t="n"/>
      <c r="D78" s="6" t="n"/>
      <c r="E78" s="7" t="n"/>
      <c r="F78" s="6" t="n"/>
    </row>
    <row r="79">
      <c r="A79" s="12" t="n"/>
      <c r="B79" s="6" t="n"/>
      <c r="C79" s="6" t="n"/>
      <c r="D79" s="6" t="n"/>
      <c r="E79" s="7" t="n"/>
      <c r="F79" s="6" t="n"/>
    </row>
    <row r="80">
      <c r="A80" s="12" t="n"/>
      <c r="B80" s="6" t="n"/>
      <c r="C80" s="6" t="n"/>
      <c r="D80" s="6" t="n"/>
      <c r="E80" s="7" t="n"/>
      <c r="F80" s="6" t="n"/>
    </row>
    <row r="81">
      <c r="A81" s="12" t="n"/>
      <c r="B81" s="6" t="n"/>
      <c r="C81" s="6" t="n"/>
      <c r="D81" s="6" t="n"/>
      <c r="E81" s="7" t="n"/>
      <c r="F81" s="6" t="n"/>
    </row>
    <row r="82">
      <c r="A82" s="12" t="n"/>
      <c r="B82" s="6" t="n"/>
      <c r="C82" s="6" t="n"/>
      <c r="D82" s="6" t="n"/>
      <c r="E82" s="7" t="n"/>
      <c r="F82" s="6" t="n"/>
    </row>
    <row r="83">
      <c r="A83" s="12" t="n"/>
      <c r="B83" s="6" t="n"/>
      <c r="C83" s="6" t="n"/>
      <c r="D83" s="6" t="n"/>
      <c r="E83" s="7" t="n"/>
      <c r="F83" s="6" t="n"/>
    </row>
    <row r="84">
      <c r="A84" s="12" t="n"/>
      <c r="B84" s="6" t="n"/>
      <c r="C84" s="6" t="n"/>
      <c r="D84" s="6" t="n"/>
      <c r="E84" s="7" t="n"/>
      <c r="F84" s="6" t="n"/>
    </row>
    <row r="85">
      <c r="A85" s="12" t="n"/>
      <c r="B85" s="6" t="n"/>
      <c r="C85" s="6" t="n"/>
      <c r="D85" s="6" t="n"/>
      <c r="E85" s="7" t="n"/>
      <c r="F85" s="6" t="n"/>
    </row>
    <row r="86">
      <c r="A86" s="12" t="n"/>
      <c r="B86" s="6" t="n"/>
      <c r="C86" s="6" t="n"/>
      <c r="D86" s="6" t="n"/>
      <c r="E86" s="7" t="n"/>
      <c r="F86" s="6" t="n"/>
    </row>
    <row r="87">
      <c r="A87" s="12" t="n"/>
      <c r="B87" s="6" t="n"/>
      <c r="C87" s="6" t="n"/>
      <c r="D87" s="6" t="n"/>
      <c r="E87" s="7" t="n"/>
      <c r="F87" s="6" t="n"/>
    </row>
    <row r="88">
      <c r="A88" s="12" t="n"/>
      <c r="B88" s="6" t="n"/>
      <c r="C88" s="6" t="n"/>
      <c r="D88" s="6" t="n"/>
      <c r="E88" s="7" t="n"/>
      <c r="F88" s="6" t="n"/>
    </row>
    <row r="89">
      <c r="A89" s="12" t="n"/>
      <c r="B89" s="6" t="n"/>
      <c r="C89" s="6" t="n"/>
      <c r="D89" s="6" t="n"/>
      <c r="E89" s="7" t="n"/>
      <c r="F89" s="6" t="n"/>
    </row>
    <row r="90">
      <c r="A90" s="12" t="n"/>
      <c r="B90" s="6" t="n"/>
      <c r="C90" s="6" t="n"/>
      <c r="D90" s="6" t="n"/>
      <c r="E90" s="7" t="n"/>
      <c r="F90" s="6" t="n"/>
    </row>
    <row r="91">
      <c r="A91" s="12" t="n"/>
      <c r="B91" s="6" t="n"/>
      <c r="C91" s="6" t="n"/>
      <c r="D91" s="6" t="n"/>
      <c r="E91" s="7" t="n"/>
      <c r="F91" s="6" t="n"/>
    </row>
    <row r="92">
      <c r="A92" s="12" t="n"/>
      <c r="B92" s="6" t="n"/>
      <c r="C92" s="6" t="n"/>
      <c r="D92" s="6" t="n"/>
      <c r="E92" s="7" t="n"/>
      <c r="F92" s="6" t="n"/>
    </row>
    <row r="93">
      <c r="A93" s="12" t="n"/>
      <c r="B93" s="6" t="n"/>
      <c r="C93" s="6" t="n"/>
      <c r="D93" s="6" t="n"/>
      <c r="E93" s="7" t="n"/>
      <c r="F93" s="6" t="n"/>
    </row>
    <row r="94">
      <c r="A94" s="12" t="n"/>
      <c r="B94" s="6" t="n"/>
      <c r="C94" s="6" t="n"/>
      <c r="D94" s="6" t="n"/>
      <c r="E94" s="7" t="n"/>
      <c r="F94" s="6" t="n"/>
    </row>
    <row r="95">
      <c r="A95" s="12" t="n"/>
      <c r="B95" s="6" t="n"/>
      <c r="C95" s="6" t="n"/>
      <c r="D95" s="6" t="n"/>
      <c r="E95" s="7" t="n"/>
      <c r="F95" s="6" t="n"/>
    </row>
    <row r="96">
      <c r="A96" s="12" t="n"/>
      <c r="B96" s="6" t="n"/>
      <c r="C96" s="6" t="n"/>
      <c r="D96" s="6" t="n"/>
      <c r="E96" s="7" t="n"/>
      <c r="F96" s="6" t="n"/>
    </row>
    <row r="97">
      <c r="A97" s="12" t="n"/>
      <c r="B97" s="6" t="n"/>
      <c r="C97" s="6" t="n"/>
      <c r="D97" s="6" t="n"/>
      <c r="E97" s="7" t="n"/>
      <c r="F97" s="6" t="n"/>
    </row>
    <row r="98">
      <c r="A98" s="12" t="n"/>
      <c r="B98" s="6" t="n"/>
      <c r="C98" s="6" t="n"/>
      <c r="D98" s="6" t="n"/>
      <c r="E98" s="7" t="n"/>
      <c r="F98" s="6" t="n"/>
    </row>
    <row r="99">
      <c r="A99" s="12" t="n"/>
      <c r="B99" s="6" t="n"/>
      <c r="C99" s="6" t="n"/>
      <c r="D99" s="6" t="n"/>
      <c r="E99" s="7" t="n"/>
      <c r="F99" s="6" t="n"/>
    </row>
    <row r="100">
      <c r="A100" s="12" t="n"/>
      <c r="B100" s="6" t="n"/>
      <c r="C100" s="6" t="n"/>
      <c r="D100" s="6" t="n"/>
      <c r="E100" s="7" t="n"/>
      <c r="F100" s="6" t="n"/>
    </row>
    <row r="101">
      <c r="A101" s="12" t="n"/>
      <c r="B101" s="6" t="n"/>
      <c r="C101" s="6" t="n"/>
      <c r="D101" s="6" t="n"/>
      <c r="E101" s="7" t="n"/>
      <c r="F101" s="6" t="n"/>
    </row>
    <row r="102">
      <c r="A102" s="12" t="n"/>
      <c r="B102" s="6" t="n"/>
      <c r="C102" s="6" t="n"/>
      <c r="D102" s="6" t="n"/>
      <c r="E102" s="7" t="n"/>
      <c r="F102" s="6" t="n"/>
    </row>
    <row r="103">
      <c r="A103" s="12" t="n"/>
      <c r="B103" s="6" t="n"/>
      <c r="C103" s="6" t="n"/>
      <c r="D103" s="6" t="n"/>
      <c r="E103" s="7" t="n"/>
      <c r="F103" s="6" t="n"/>
    </row>
    <row r="104">
      <c r="A104" s="12" t="n"/>
      <c r="B104" s="6" t="n"/>
      <c r="C104" s="6" t="n"/>
      <c r="D104" s="6" t="n"/>
      <c r="E104" s="7" t="n"/>
      <c r="F104" s="6" t="n"/>
    </row>
    <row r="105">
      <c r="A105" s="12" t="n"/>
      <c r="B105" s="6" t="n"/>
      <c r="C105" s="6" t="n"/>
      <c r="D105" s="6" t="n"/>
      <c r="E105" s="7" t="n"/>
      <c r="F105" s="6" t="n"/>
    </row>
    <row r="106">
      <c r="A106" s="12" t="n"/>
      <c r="B106" s="6" t="n"/>
      <c r="C106" s="6" t="n"/>
      <c r="D106" s="6" t="n"/>
      <c r="E106" s="7" t="n"/>
      <c r="F106" s="6" t="n"/>
    </row>
    <row r="107">
      <c r="A107" s="12" t="n"/>
      <c r="B107" s="6" t="n"/>
      <c r="C107" s="6" t="n"/>
      <c r="D107" s="6" t="n"/>
      <c r="E107" s="7" t="n"/>
      <c r="F107" s="6" t="n"/>
    </row>
    <row r="108">
      <c r="A108" s="12" t="n"/>
      <c r="B108" s="6" t="n"/>
      <c r="C108" s="6" t="n"/>
      <c r="D108" s="6" t="n"/>
      <c r="E108" s="7" t="n"/>
      <c r="F108" s="6" t="n"/>
    </row>
    <row r="109">
      <c r="A109" s="12" t="n"/>
      <c r="B109" s="6" t="n"/>
      <c r="C109" s="6" t="n"/>
      <c r="D109" s="6" t="n"/>
      <c r="E109" s="7" t="n"/>
      <c r="F109" s="6" t="n"/>
    </row>
    <row r="110">
      <c r="A110" s="12" t="n"/>
      <c r="B110" s="6" t="n"/>
      <c r="C110" s="6" t="n"/>
      <c r="D110" s="6" t="n"/>
      <c r="E110" s="7" t="n"/>
      <c r="F110" s="6" t="n"/>
    </row>
    <row r="111">
      <c r="A111" s="12" t="n"/>
      <c r="B111" s="6" t="n"/>
      <c r="C111" s="6" t="n"/>
      <c r="D111" s="6" t="n"/>
      <c r="E111" s="7" t="n"/>
      <c r="F111" s="6" t="n"/>
    </row>
    <row r="112">
      <c r="A112" s="12" t="n"/>
      <c r="B112" s="6" t="n"/>
      <c r="C112" s="6" t="n"/>
      <c r="D112" s="6" t="n"/>
      <c r="E112" s="7" t="n"/>
      <c r="F112" s="6" t="n"/>
    </row>
    <row r="113">
      <c r="A113" s="12" t="n"/>
      <c r="B113" s="6" t="n"/>
      <c r="C113" s="6" t="n"/>
      <c r="D113" s="6" t="n"/>
      <c r="E113" s="7" t="n"/>
      <c r="F113" s="6" t="n"/>
    </row>
    <row r="114">
      <c r="A114" s="12" t="n"/>
      <c r="B114" s="6" t="n"/>
      <c r="C114" s="6" t="n"/>
      <c r="D114" s="6" t="n"/>
      <c r="E114" s="7" t="n"/>
      <c r="F114" s="6" t="n"/>
    </row>
    <row r="115">
      <c r="A115" s="12" t="n"/>
      <c r="B115" s="6" t="n"/>
      <c r="C115" s="6" t="n"/>
      <c r="D115" s="6" t="n"/>
      <c r="E115" s="7" t="n"/>
      <c r="F115" s="6" t="n"/>
    </row>
    <row r="116">
      <c r="A116" s="12" t="n"/>
      <c r="B116" s="6" t="n"/>
      <c r="C116" s="6" t="n"/>
      <c r="D116" s="6" t="n"/>
      <c r="E116" s="7" t="n"/>
      <c r="F116" s="6" t="n"/>
    </row>
    <row r="117">
      <c r="A117" s="12" t="n"/>
      <c r="B117" s="6" t="n"/>
      <c r="C117" s="6" t="n"/>
      <c r="D117" s="6" t="n"/>
      <c r="E117" s="7" t="n"/>
      <c r="F117" s="6" t="n"/>
    </row>
    <row r="118">
      <c r="A118" s="12" t="n"/>
      <c r="B118" s="6" t="n"/>
      <c r="C118" s="6" t="n"/>
      <c r="D118" s="6" t="n"/>
      <c r="E118" s="7" t="n"/>
      <c r="F118" s="6" t="n"/>
    </row>
    <row r="119">
      <c r="A119" s="12" t="n"/>
      <c r="B119" s="6" t="n"/>
      <c r="C119" s="6" t="n"/>
      <c r="D119" s="6" t="n"/>
      <c r="E119" s="7" t="n"/>
      <c r="F119" s="6" t="n"/>
    </row>
    <row r="120">
      <c r="A120" s="12" t="n"/>
      <c r="B120" s="6" t="n"/>
      <c r="C120" s="6" t="n"/>
      <c r="D120" s="6" t="n"/>
      <c r="E120" s="7" t="n"/>
      <c r="F120" s="6" t="n"/>
    </row>
    <row r="121">
      <c r="A121" s="12" t="n"/>
      <c r="B121" s="6" t="n"/>
      <c r="C121" s="6" t="n"/>
      <c r="D121" s="6" t="n"/>
      <c r="E121" s="7" t="n"/>
      <c r="F121" s="6" t="n"/>
    </row>
    <row r="122">
      <c r="A122" s="12" t="n"/>
      <c r="B122" s="6" t="n"/>
      <c r="C122" s="6" t="n"/>
      <c r="D122" s="6" t="n"/>
      <c r="E122" s="7" t="n"/>
      <c r="F122" s="6" t="n"/>
    </row>
    <row r="123">
      <c r="A123" s="12" t="n"/>
      <c r="B123" s="6" t="n"/>
      <c r="C123" s="6" t="n"/>
      <c r="D123" s="6" t="n"/>
      <c r="E123" s="7" t="n"/>
      <c r="F123" s="6" t="n"/>
    </row>
    <row r="124">
      <c r="A124" s="12" t="n"/>
      <c r="B124" s="6" t="n"/>
      <c r="C124" s="6" t="n"/>
      <c r="D124" s="6" t="n"/>
      <c r="E124" s="7" t="n"/>
      <c r="F124" s="6" t="n"/>
    </row>
    <row r="125">
      <c r="A125" s="12" t="n"/>
      <c r="B125" s="6" t="n"/>
      <c r="C125" s="6" t="n"/>
      <c r="D125" s="6" t="n"/>
      <c r="E125" s="7" t="n"/>
      <c r="F125" s="6" t="n"/>
    </row>
    <row r="126">
      <c r="A126" s="12" t="n"/>
      <c r="B126" s="6" t="n"/>
      <c r="C126" s="6" t="n"/>
      <c r="D126" s="6" t="n"/>
      <c r="E126" s="7" t="n"/>
      <c r="F126" s="6" t="n"/>
    </row>
    <row r="127">
      <c r="A127" s="12" t="n"/>
      <c r="B127" s="6" t="n"/>
      <c r="C127" s="6" t="n"/>
      <c r="D127" s="6" t="n"/>
      <c r="E127" s="7" t="n"/>
      <c r="F127" s="6" t="n"/>
    </row>
    <row r="128">
      <c r="A128" s="12" t="n"/>
      <c r="B128" s="6" t="n"/>
      <c r="C128" s="6" t="n"/>
      <c r="D128" s="6" t="n"/>
      <c r="E128" s="7" t="n"/>
      <c r="F128" s="6" t="n"/>
    </row>
    <row r="129">
      <c r="A129" s="12" t="n"/>
      <c r="B129" s="6" t="n"/>
      <c r="C129" s="6" t="n"/>
      <c r="D129" s="6" t="n"/>
      <c r="E129" s="7" t="n"/>
      <c r="F129" s="6" t="n"/>
    </row>
    <row r="130">
      <c r="A130" s="12" t="n"/>
      <c r="B130" s="6" t="n"/>
      <c r="C130" s="6" t="n"/>
      <c r="D130" s="6" t="n"/>
      <c r="E130" s="7" t="n"/>
      <c r="F130" s="6" t="n"/>
    </row>
    <row r="131">
      <c r="A131" s="12" t="n"/>
      <c r="B131" s="6" t="n"/>
      <c r="C131" s="6" t="n"/>
      <c r="D131" s="6" t="n"/>
      <c r="E131" s="7" t="n"/>
      <c r="F131" s="6" t="n"/>
    </row>
    <row r="132">
      <c r="A132" s="12" t="n"/>
      <c r="B132" s="6" t="n"/>
      <c r="C132" s="6" t="n"/>
      <c r="D132" s="6" t="n"/>
      <c r="E132" s="7" t="n"/>
      <c r="F132" s="6" t="n"/>
    </row>
    <row r="133">
      <c r="A133" s="12" t="n"/>
      <c r="B133" s="6" t="n"/>
      <c r="C133" s="6" t="n"/>
      <c r="D133" s="6" t="n"/>
      <c r="E133" s="7" t="n"/>
      <c r="F133" s="6" t="n"/>
    </row>
    <row r="134">
      <c r="A134" s="12" t="n"/>
      <c r="B134" s="6" t="n"/>
      <c r="C134" s="6" t="n"/>
      <c r="D134" s="6" t="n"/>
      <c r="E134" s="7" t="n"/>
      <c r="F134" s="6" t="n"/>
    </row>
    <row r="135">
      <c r="A135" s="12" t="n"/>
      <c r="B135" s="6" t="n"/>
      <c r="C135" s="6" t="n"/>
      <c r="D135" s="6" t="n"/>
      <c r="E135" s="7" t="n"/>
      <c r="F135" s="6" t="n"/>
    </row>
    <row r="136">
      <c r="A136" s="12" t="n"/>
      <c r="B136" s="6" t="n"/>
      <c r="C136" s="6" t="n"/>
      <c r="D136" s="6" t="n"/>
      <c r="E136" s="7" t="n"/>
      <c r="F136" s="6" t="n"/>
    </row>
    <row r="137">
      <c r="A137" s="12" t="n"/>
      <c r="B137" s="6" t="n"/>
      <c r="C137" s="6" t="n"/>
      <c r="D137" s="6" t="n"/>
      <c r="E137" s="7" t="n"/>
      <c r="F137" s="6" t="n"/>
    </row>
    <row r="138">
      <c r="A138" s="12" t="n"/>
      <c r="B138" s="6" t="n"/>
      <c r="C138" s="6" t="n"/>
      <c r="D138" s="6" t="n"/>
      <c r="E138" s="7" t="n"/>
      <c r="F138" s="6" t="n"/>
    </row>
    <row r="139">
      <c r="A139" s="12" t="n"/>
      <c r="B139" s="6" t="n"/>
      <c r="C139" s="6" t="n"/>
      <c r="D139" s="6" t="n"/>
      <c r="E139" s="7" t="n"/>
      <c r="F139" s="6" t="n"/>
    </row>
    <row r="140">
      <c r="A140" s="12" t="n"/>
      <c r="B140" s="6" t="n"/>
      <c r="C140" s="6" t="n"/>
      <c r="D140" s="6" t="n"/>
      <c r="E140" s="7" t="n"/>
      <c r="F140" s="6" t="n"/>
    </row>
    <row r="141">
      <c r="A141" s="12" t="n"/>
      <c r="B141" s="6" t="n"/>
      <c r="C141" s="6" t="n"/>
      <c r="D141" s="6" t="n"/>
      <c r="E141" s="7" t="n"/>
      <c r="F141" s="6" t="n"/>
    </row>
    <row r="142">
      <c r="A142" s="12" t="n"/>
      <c r="B142" s="6" t="n"/>
      <c r="C142" s="6" t="n"/>
      <c r="D142" s="6" t="n"/>
      <c r="E142" s="7" t="n"/>
      <c r="F142" s="6" t="n"/>
    </row>
    <row r="143">
      <c r="A143" s="12" t="n"/>
      <c r="B143" s="6" t="n"/>
      <c r="C143" s="6" t="n"/>
      <c r="D143" s="6" t="n"/>
      <c r="E143" s="7" t="n"/>
      <c r="F143" s="6" t="n"/>
    </row>
    <row r="144">
      <c r="A144" s="12" t="n"/>
      <c r="B144" s="6" t="n"/>
      <c r="C144" s="6" t="n"/>
      <c r="D144" s="6" t="n"/>
      <c r="E144" s="7" t="n"/>
      <c r="F144" s="6" t="n"/>
    </row>
    <row r="145">
      <c r="A145" s="12" t="n"/>
      <c r="B145" s="6" t="n"/>
      <c r="C145" s="6" t="n"/>
      <c r="D145" s="6" t="n"/>
      <c r="E145" s="7" t="n"/>
      <c r="F145" s="6" t="n"/>
    </row>
    <row r="146">
      <c r="A146" s="12" t="n"/>
      <c r="B146" s="6" t="n"/>
      <c r="C146" s="6" t="n"/>
      <c r="D146" s="6" t="n"/>
      <c r="E146" s="7" t="n"/>
      <c r="F146" s="6" t="n"/>
    </row>
    <row r="147">
      <c r="A147" s="12" t="n"/>
      <c r="B147" s="6" t="n"/>
      <c r="C147" s="6" t="n"/>
      <c r="D147" s="6" t="n"/>
      <c r="E147" s="7" t="n"/>
      <c r="F147" s="6" t="n"/>
    </row>
    <row r="148">
      <c r="A148" s="12" t="n"/>
      <c r="B148" s="6" t="n"/>
      <c r="C148" s="6" t="n"/>
      <c r="D148" s="6" t="n"/>
      <c r="E148" s="7" t="n"/>
      <c r="F148" s="6" t="n"/>
    </row>
    <row r="149">
      <c r="A149" s="12" t="n"/>
      <c r="B149" s="6" t="n"/>
      <c r="C149" s="6" t="n"/>
      <c r="D149" s="6" t="n"/>
      <c r="E149" s="7" t="n"/>
      <c r="F149" s="6" t="n"/>
    </row>
    <row r="150">
      <c r="A150" s="12" t="n"/>
      <c r="B150" s="6" t="n"/>
      <c r="C150" s="6" t="n"/>
      <c r="D150" s="6" t="n"/>
      <c r="E150" s="7" t="n"/>
      <c r="F150" s="6" t="n"/>
    </row>
    <row r="151">
      <c r="A151" s="12" t="n"/>
      <c r="B151" s="6" t="n"/>
      <c r="C151" s="6" t="n"/>
      <c r="D151" s="6" t="n"/>
      <c r="E151" s="7" t="n"/>
      <c r="F151" s="6" t="n"/>
    </row>
    <row r="152">
      <c r="A152" s="12" t="n"/>
      <c r="B152" s="6" t="n"/>
      <c r="C152" s="6" t="n"/>
      <c r="D152" s="6" t="n"/>
      <c r="E152" s="7" t="n"/>
      <c r="F152" s="6" t="n"/>
    </row>
    <row r="153">
      <c r="A153" s="12" t="n"/>
      <c r="B153" s="6" t="n"/>
      <c r="C153" s="6" t="n"/>
      <c r="D153" s="6" t="n"/>
      <c r="E153" s="7" t="n"/>
      <c r="F153" s="6" t="n"/>
    </row>
    <row r="154">
      <c r="A154" s="12" t="n"/>
      <c r="B154" s="6" t="n"/>
      <c r="C154" s="6" t="n"/>
      <c r="D154" s="6" t="n"/>
      <c r="E154" s="7" t="n"/>
      <c r="F154" s="6" t="n"/>
    </row>
    <row r="155">
      <c r="A155" s="12" t="n"/>
      <c r="B155" s="6" t="n"/>
      <c r="C155" s="6" t="n"/>
      <c r="D155" s="6" t="n"/>
      <c r="E155" s="7" t="n"/>
      <c r="F155" s="6" t="n"/>
    </row>
    <row r="156">
      <c r="A156" s="12" t="n"/>
      <c r="B156" s="6" t="n"/>
      <c r="C156" s="6" t="n"/>
      <c r="D156" s="6" t="n"/>
      <c r="E156" s="7" t="n"/>
      <c r="F156" s="6" t="n"/>
    </row>
    <row r="157">
      <c r="A157" s="12" t="n"/>
      <c r="B157" s="6" t="n"/>
      <c r="C157" s="6" t="n"/>
      <c r="D157" s="6" t="n"/>
      <c r="E157" s="7" t="n"/>
      <c r="F157" s="6" t="n"/>
    </row>
    <row r="158">
      <c r="A158" s="12" t="n"/>
      <c r="B158" s="6" t="n"/>
      <c r="C158" s="6" t="n"/>
      <c r="D158" s="6" t="n"/>
      <c r="E158" s="7" t="n"/>
      <c r="F158" s="6" t="n"/>
    </row>
    <row r="159">
      <c r="A159" s="12" t="n"/>
      <c r="B159" s="6" t="n"/>
      <c r="C159" s="6" t="n"/>
      <c r="D159" s="6" t="n"/>
      <c r="E159" s="7" t="n"/>
      <c r="F159" s="6" t="n"/>
    </row>
    <row r="160">
      <c r="A160" s="12" t="n"/>
      <c r="B160" s="6" t="n"/>
      <c r="C160" s="6" t="n"/>
      <c r="D160" s="6" t="n"/>
      <c r="E160" s="7" t="n"/>
      <c r="F160" s="6" t="n"/>
    </row>
    <row r="161">
      <c r="A161" s="12" t="n"/>
      <c r="B161" s="6" t="n"/>
      <c r="C161" s="6" t="n"/>
      <c r="D161" s="6" t="n"/>
      <c r="E161" s="7" t="n"/>
      <c r="F161" s="6" t="n"/>
    </row>
    <row r="162">
      <c r="A162" s="12" t="n"/>
      <c r="B162" s="6" t="n"/>
      <c r="C162" s="6" t="n"/>
      <c r="D162" s="6" t="n"/>
      <c r="E162" s="7" t="n"/>
      <c r="F162" s="6" t="n"/>
    </row>
    <row r="163">
      <c r="A163" s="12" t="n"/>
      <c r="B163" s="6" t="n"/>
      <c r="C163" s="6" t="n"/>
      <c r="D163" s="6" t="n"/>
      <c r="E163" s="7" t="n"/>
      <c r="F163" s="6" t="n"/>
    </row>
    <row r="164">
      <c r="A164" s="12" t="n"/>
      <c r="B164" s="6" t="n"/>
      <c r="C164" s="6" t="n"/>
      <c r="D164" s="6" t="n"/>
      <c r="E164" s="7" t="n"/>
      <c r="F164" s="6" t="n"/>
    </row>
    <row r="165">
      <c r="A165" s="12" t="n"/>
      <c r="B165" s="6" t="n"/>
      <c r="C165" s="6" t="n"/>
      <c r="D165" s="6" t="n"/>
      <c r="E165" s="7" t="n"/>
      <c r="F165" s="6" t="n"/>
    </row>
    <row r="166">
      <c r="A166" s="12" t="n"/>
      <c r="B166" s="6" t="n"/>
      <c r="C166" s="6" t="n"/>
      <c r="D166" s="6" t="n"/>
      <c r="E166" s="7" t="n"/>
      <c r="F166" s="6" t="n"/>
    </row>
    <row r="167">
      <c r="A167" s="12" t="n"/>
      <c r="B167" s="6" t="n"/>
      <c r="C167" s="6" t="n"/>
      <c r="D167" s="6" t="n"/>
      <c r="E167" s="7" t="n"/>
      <c r="F167" s="6" t="n"/>
    </row>
    <row r="168">
      <c r="A168" s="12" t="n"/>
      <c r="B168" s="6" t="n"/>
      <c r="C168" s="6" t="n"/>
      <c r="D168" s="6" t="n"/>
      <c r="E168" s="7" t="n"/>
      <c r="F168" s="6" t="n"/>
    </row>
    <row r="169">
      <c r="A169" s="12" t="n"/>
      <c r="B169" s="6" t="n"/>
      <c r="C169" s="6" t="n"/>
      <c r="D169" s="6" t="n"/>
      <c r="E169" s="7" t="n"/>
      <c r="F169" s="6" t="n"/>
    </row>
    <row r="170">
      <c r="A170" s="12" t="n"/>
      <c r="B170" s="6" t="n"/>
      <c r="C170" s="6" t="n"/>
      <c r="D170" s="6" t="n"/>
      <c r="E170" s="7" t="n"/>
      <c r="F170" s="6" t="n"/>
    </row>
    <row r="171">
      <c r="A171" s="12" t="n"/>
      <c r="B171" s="6" t="n"/>
      <c r="C171" s="6" t="n"/>
      <c r="D171" s="6" t="n"/>
      <c r="E171" s="7" t="n"/>
      <c r="F171" s="6" t="n"/>
    </row>
    <row r="172">
      <c r="A172" s="12" t="n"/>
      <c r="B172" s="6" t="n"/>
      <c r="C172" s="6" t="n"/>
      <c r="D172" s="6" t="n"/>
      <c r="E172" s="7" t="n"/>
      <c r="F172" s="6" t="n"/>
    </row>
    <row r="173">
      <c r="A173" s="12" t="n"/>
      <c r="B173" s="6" t="n"/>
      <c r="C173" s="6" t="n"/>
      <c r="D173" s="6" t="n"/>
      <c r="E173" s="7" t="n"/>
      <c r="F173" s="6" t="n"/>
    </row>
    <row r="174">
      <c r="A174" s="12" t="n"/>
      <c r="B174" s="6" t="n"/>
      <c r="C174" s="6" t="n"/>
      <c r="D174" s="6" t="n"/>
      <c r="E174" s="7" t="n"/>
      <c r="F174" s="6" t="n"/>
    </row>
    <row r="175">
      <c r="A175" s="12" t="n"/>
      <c r="B175" s="6" t="n"/>
      <c r="C175" s="6" t="n"/>
      <c r="D175" s="6" t="n"/>
      <c r="E175" s="7" t="n"/>
      <c r="F175" s="6" t="n"/>
    </row>
    <row r="176">
      <c r="A176" s="12" t="n"/>
      <c r="B176" s="6" t="n"/>
      <c r="C176" s="6" t="n"/>
      <c r="D176" s="6" t="n"/>
      <c r="E176" s="7" t="n"/>
      <c r="F176" s="6" t="n"/>
    </row>
    <row r="177">
      <c r="A177" s="12" t="n"/>
      <c r="B177" s="6" t="n"/>
      <c r="C177" s="6" t="n"/>
      <c r="D177" s="6" t="n"/>
      <c r="E177" s="7" t="n"/>
      <c r="F177" s="6" t="n"/>
    </row>
    <row r="178">
      <c r="A178" s="12" t="n"/>
      <c r="B178" s="6" t="n"/>
      <c r="C178" s="6" t="n"/>
      <c r="D178" s="6" t="n"/>
      <c r="E178" s="7" t="n"/>
      <c r="F178" s="6" t="n"/>
    </row>
    <row r="179">
      <c r="A179" s="12" t="n"/>
      <c r="B179" s="6" t="n"/>
      <c r="C179" s="6" t="n"/>
      <c r="D179" s="6" t="n"/>
      <c r="E179" s="7" t="n"/>
      <c r="F179" s="6" t="n"/>
    </row>
    <row r="180">
      <c r="A180" s="12" t="n"/>
      <c r="B180" s="6" t="n"/>
      <c r="C180" s="6" t="n"/>
      <c r="D180" s="6" t="n"/>
      <c r="E180" s="7" t="n"/>
      <c r="F180" s="6" t="n"/>
    </row>
    <row r="181">
      <c r="A181" s="12" t="n"/>
      <c r="B181" s="6" t="n"/>
      <c r="C181" s="6" t="n"/>
      <c r="D181" s="6" t="n"/>
      <c r="E181" s="7" t="n"/>
      <c r="F181" s="6" t="n"/>
    </row>
    <row r="182">
      <c r="A182" s="12" t="n"/>
      <c r="B182" s="6" t="n"/>
      <c r="C182" s="6" t="n"/>
      <c r="D182" s="6" t="n"/>
      <c r="E182" s="7" t="n"/>
      <c r="F182" s="6" t="n"/>
    </row>
    <row r="183">
      <c r="A183" s="12" t="n"/>
      <c r="B183" s="6" t="n"/>
      <c r="C183" s="6" t="n"/>
      <c r="D183" s="6" t="n"/>
      <c r="E183" s="7" t="n"/>
      <c r="F183" s="6" t="n"/>
    </row>
    <row r="184">
      <c r="A184" s="12" t="n"/>
      <c r="B184" s="6" t="n"/>
      <c r="C184" s="6" t="n"/>
      <c r="D184" s="6" t="n"/>
      <c r="E184" s="7" t="n"/>
      <c r="F184" s="6" t="n"/>
    </row>
    <row r="185">
      <c r="A185" s="12" t="n"/>
      <c r="B185" s="6" t="n"/>
      <c r="C185" s="6" t="n"/>
      <c r="D185" s="6" t="n"/>
      <c r="E185" s="7" t="n"/>
      <c r="F185" s="6" t="n"/>
    </row>
    <row r="186">
      <c r="A186" s="12" t="n"/>
      <c r="B186" s="6" t="n"/>
      <c r="C186" s="6" t="n"/>
      <c r="D186" s="6" t="n"/>
      <c r="E186" s="7" t="n"/>
      <c r="F186" s="6" t="n"/>
    </row>
    <row r="187">
      <c r="A187" s="12" t="n"/>
      <c r="B187" s="6" t="n"/>
      <c r="C187" s="6" t="n"/>
      <c r="D187" s="6" t="n"/>
      <c r="E187" s="7" t="n"/>
      <c r="F187" s="6" t="n"/>
    </row>
    <row r="188">
      <c r="A188" s="12" t="n"/>
      <c r="B188" s="6" t="n"/>
      <c r="C188" s="6" t="n"/>
      <c r="D188" s="6" t="n"/>
      <c r="E188" s="7" t="n"/>
      <c r="F188" s="6" t="n"/>
    </row>
    <row r="189">
      <c r="A189" s="12" t="n"/>
      <c r="B189" s="6" t="n"/>
      <c r="C189" s="6" t="n"/>
      <c r="D189" s="6" t="n"/>
      <c r="E189" s="7" t="n"/>
      <c r="F189" s="6" t="n"/>
    </row>
    <row r="190">
      <c r="A190" s="12" t="n"/>
      <c r="B190" s="6" t="n"/>
      <c r="C190" s="6" t="n"/>
      <c r="D190" s="6" t="n"/>
      <c r="E190" s="7" t="n"/>
      <c r="F190" s="6" t="n"/>
    </row>
    <row r="191">
      <c r="A191" s="12" t="n"/>
      <c r="B191" s="6" t="n"/>
      <c r="C191" s="6" t="n"/>
      <c r="D191" s="6" t="n"/>
      <c r="E191" s="7" t="n"/>
      <c r="F191" s="6" t="n"/>
    </row>
    <row r="192">
      <c r="A192" s="12" t="n"/>
      <c r="B192" s="6" t="n"/>
      <c r="C192" s="6" t="n"/>
      <c r="D192" s="6" t="n"/>
      <c r="E192" s="7" t="n"/>
      <c r="F192" s="6" t="n"/>
    </row>
    <row r="193">
      <c r="A193" s="12" t="n"/>
      <c r="B193" s="6" t="n"/>
      <c r="C193" s="6" t="n"/>
      <c r="D193" s="6" t="n"/>
      <c r="E193" s="7" t="n"/>
      <c r="F193" s="6" t="n"/>
    </row>
    <row r="194">
      <c r="A194" s="12" t="n"/>
      <c r="B194" s="6" t="n"/>
      <c r="C194" s="6" t="n"/>
      <c r="D194" s="6" t="n"/>
      <c r="E194" s="7" t="n"/>
      <c r="F194" s="6" t="n"/>
    </row>
    <row r="195">
      <c r="A195" s="12" t="n"/>
      <c r="B195" s="6" t="n"/>
      <c r="C195" s="6" t="n"/>
      <c r="D195" s="6" t="n"/>
      <c r="E195" s="7" t="n"/>
      <c r="F195" s="6" t="n"/>
    </row>
    <row r="196">
      <c r="A196" s="12" t="n"/>
      <c r="B196" s="6" t="n"/>
      <c r="C196" s="6" t="n"/>
      <c r="D196" s="6" t="n"/>
      <c r="E196" s="7" t="n"/>
      <c r="F196" s="6" t="n"/>
    </row>
    <row r="197">
      <c r="A197" s="12" t="n"/>
      <c r="B197" s="6" t="n"/>
      <c r="C197" s="6" t="n"/>
      <c r="D197" s="6" t="n"/>
      <c r="E197" s="7" t="n"/>
      <c r="F197" s="6" t="n"/>
    </row>
    <row r="198">
      <c r="A198" s="12" t="n"/>
      <c r="B198" s="6" t="n"/>
      <c r="C198" s="6" t="n"/>
      <c r="D198" s="6" t="n"/>
      <c r="E198" s="7" t="n"/>
      <c r="F198" s="6" t="n"/>
    </row>
    <row r="199">
      <c r="A199" s="12" t="n"/>
      <c r="B199" s="6" t="n"/>
      <c r="C199" s="6" t="n"/>
      <c r="D199" s="6" t="n"/>
      <c r="E199" s="7" t="n"/>
      <c r="F199" s="6" t="n"/>
    </row>
    <row r="200">
      <c r="A200" s="12" t="n"/>
      <c r="B200" s="6" t="n"/>
      <c r="C200" s="6" t="n"/>
      <c r="D200" s="6" t="n"/>
      <c r="E200" s="7" t="n"/>
      <c r="F200" s="6" t="n"/>
    </row>
    <row r="201">
      <c r="A201" s="12" t="n"/>
      <c r="B201" s="6" t="n"/>
      <c r="C201" s="6" t="n"/>
      <c r="D201" s="6" t="n"/>
      <c r="E201" s="7" t="n"/>
      <c r="F201" s="6" t="n"/>
    </row>
  </sheetData>
  <dataValidations count="1">
    <dataValidation sqref="D2:D201" showDropDown="0" showInputMessage="0" showErrorMessage="0" allowBlank="1" type="list">
      <formula1>"Gasto,Ingreso"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2026-10-02T11:38:41Z</dcterms:created>
  <dcterms:modified xsi:type="dcterms:W3CDTF">2026-10-02T11:38:41Z</dcterms:modified>
</cp:coreProperties>
</file>